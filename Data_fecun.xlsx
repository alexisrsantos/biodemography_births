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rs39\Desktop\"/>
    </mc:Choice>
  </mc:AlternateContent>
  <xr:revisionPtr revIDLastSave="0" documentId="13_ncr:1_{46504C07-215A-47BC-9D13-FF70D11E7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D8" i="1"/>
  <c r="D9" i="1"/>
  <c r="D10" i="1"/>
  <c r="D11" i="1"/>
  <c r="E11" i="1" s="1"/>
  <c r="D12" i="1"/>
  <c r="D13" i="1"/>
  <c r="D14" i="1"/>
  <c r="D15" i="1"/>
  <c r="D16" i="1"/>
  <c r="E16" i="1" s="1"/>
  <c r="D17" i="1"/>
  <c r="E17" i="1" s="1"/>
  <c r="D18" i="1"/>
  <c r="E18" i="1" s="1"/>
  <c r="D19" i="1"/>
  <c r="D20" i="1"/>
  <c r="D21" i="1"/>
  <c r="D22" i="1"/>
  <c r="D23" i="1"/>
  <c r="D24" i="1"/>
  <c r="E24" i="1" s="1"/>
  <c r="D25" i="1"/>
  <c r="D26" i="1"/>
  <c r="D27" i="1"/>
  <c r="D28" i="1"/>
  <c r="E28" i="1" s="1"/>
  <c r="D29" i="1"/>
  <c r="E29" i="1" s="1"/>
  <c r="D30" i="1"/>
  <c r="E30" i="1" s="1"/>
  <c r="D31" i="1"/>
  <c r="D32" i="1"/>
  <c r="D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2" i="1"/>
  <c r="AD3" i="1"/>
  <c r="AL3" i="1" s="1"/>
  <c r="AD4" i="1"/>
  <c r="AL4" i="1" s="1"/>
  <c r="AD5" i="1"/>
  <c r="AL5" i="1" s="1"/>
  <c r="AD6" i="1"/>
  <c r="AL6" i="1" s="1"/>
  <c r="AD7" i="1"/>
  <c r="AL7" i="1" s="1"/>
  <c r="AD8" i="1"/>
  <c r="AL8" i="1" s="1"/>
  <c r="AD9" i="1"/>
  <c r="AL9" i="1" s="1"/>
  <c r="AD10" i="1"/>
  <c r="AL10" i="1" s="1"/>
  <c r="AD11" i="1"/>
  <c r="AL11" i="1" s="1"/>
  <c r="AD12" i="1"/>
  <c r="AL12" i="1" s="1"/>
  <c r="AD13" i="1"/>
  <c r="AL13" i="1" s="1"/>
  <c r="AD14" i="1"/>
  <c r="AL14" i="1" s="1"/>
  <c r="AD15" i="1"/>
  <c r="AL15" i="1" s="1"/>
  <c r="AD16" i="1"/>
  <c r="AL16" i="1" s="1"/>
  <c r="AD17" i="1"/>
  <c r="AL17" i="1" s="1"/>
  <c r="AD18" i="1"/>
  <c r="AL18" i="1" s="1"/>
  <c r="AD19" i="1"/>
  <c r="AL19" i="1" s="1"/>
  <c r="AD20" i="1"/>
  <c r="AL20" i="1" s="1"/>
  <c r="AD21" i="1"/>
  <c r="AL21" i="1" s="1"/>
  <c r="AD22" i="1"/>
  <c r="AL22" i="1" s="1"/>
  <c r="AD23" i="1"/>
  <c r="AL23" i="1" s="1"/>
  <c r="AD24" i="1"/>
  <c r="AL24" i="1" s="1"/>
  <c r="AD25" i="1"/>
  <c r="AL25" i="1" s="1"/>
  <c r="AD26" i="1"/>
  <c r="AL26" i="1" s="1"/>
  <c r="AD27" i="1"/>
  <c r="AL27" i="1" s="1"/>
  <c r="AD28" i="1"/>
  <c r="AL28" i="1" s="1"/>
  <c r="AD29" i="1"/>
  <c r="AL29" i="1" s="1"/>
  <c r="AD30" i="1"/>
  <c r="AL30" i="1" s="1"/>
  <c r="AD31" i="1"/>
  <c r="AL31" i="1" s="1"/>
  <c r="AD32" i="1"/>
  <c r="AL32" i="1" s="1"/>
  <c r="AC3" i="1"/>
  <c r="AK3" i="1" s="1"/>
  <c r="AC4" i="1"/>
  <c r="AK4" i="1" s="1"/>
  <c r="AC5" i="1"/>
  <c r="AK5" i="1" s="1"/>
  <c r="AC6" i="1"/>
  <c r="AK6" i="1" s="1"/>
  <c r="AC7" i="1"/>
  <c r="AK7" i="1" s="1"/>
  <c r="AC8" i="1"/>
  <c r="AK8" i="1" s="1"/>
  <c r="AC9" i="1"/>
  <c r="AK9" i="1" s="1"/>
  <c r="AC10" i="1"/>
  <c r="AK10" i="1" s="1"/>
  <c r="AC11" i="1"/>
  <c r="AK11" i="1" s="1"/>
  <c r="AC12" i="1"/>
  <c r="AK12" i="1" s="1"/>
  <c r="AC13" i="1"/>
  <c r="AK13" i="1" s="1"/>
  <c r="AC14" i="1"/>
  <c r="AK14" i="1" s="1"/>
  <c r="AC15" i="1"/>
  <c r="AK15" i="1" s="1"/>
  <c r="AC16" i="1"/>
  <c r="AK16" i="1" s="1"/>
  <c r="AC17" i="1"/>
  <c r="AK17" i="1" s="1"/>
  <c r="AC18" i="1"/>
  <c r="AK18" i="1" s="1"/>
  <c r="AC19" i="1"/>
  <c r="AK19" i="1" s="1"/>
  <c r="AC20" i="1"/>
  <c r="AK20" i="1" s="1"/>
  <c r="AC21" i="1"/>
  <c r="AK21" i="1" s="1"/>
  <c r="AC22" i="1"/>
  <c r="AK22" i="1" s="1"/>
  <c r="AC23" i="1"/>
  <c r="AK23" i="1" s="1"/>
  <c r="AC24" i="1"/>
  <c r="AK24" i="1" s="1"/>
  <c r="AC25" i="1"/>
  <c r="AK25" i="1" s="1"/>
  <c r="AC26" i="1"/>
  <c r="AK26" i="1" s="1"/>
  <c r="AC27" i="1"/>
  <c r="AK27" i="1" s="1"/>
  <c r="AC28" i="1"/>
  <c r="AK28" i="1" s="1"/>
  <c r="AC29" i="1"/>
  <c r="AK29" i="1" s="1"/>
  <c r="AC30" i="1"/>
  <c r="AK30" i="1" s="1"/>
  <c r="AC31" i="1"/>
  <c r="AK31" i="1" s="1"/>
  <c r="AC32" i="1"/>
  <c r="AK32" i="1" s="1"/>
  <c r="AB3" i="1"/>
  <c r="AJ3" i="1" s="1"/>
  <c r="AB4" i="1"/>
  <c r="AJ4" i="1" s="1"/>
  <c r="AB5" i="1"/>
  <c r="AJ5" i="1" s="1"/>
  <c r="AB6" i="1"/>
  <c r="AJ6" i="1" s="1"/>
  <c r="AB7" i="1"/>
  <c r="AJ7" i="1" s="1"/>
  <c r="AB8" i="1"/>
  <c r="AJ8" i="1" s="1"/>
  <c r="AB9" i="1"/>
  <c r="AJ9" i="1" s="1"/>
  <c r="AB10" i="1"/>
  <c r="AJ10" i="1" s="1"/>
  <c r="AB11" i="1"/>
  <c r="AJ11" i="1" s="1"/>
  <c r="AB12" i="1"/>
  <c r="AB13" i="1"/>
  <c r="AJ13" i="1" s="1"/>
  <c r="AB14" i="1"/>
  <c r="AJ14" i="1" s="1"/>
  <c r="AB15" i="1"/>
  <c r="AJ15" i="1" s="1"/>
  <c r="AB16" i="1"/>
  <c r="AJ16" i="1" s="1"/>
  <c r="AB17" i="1"/>
  <c r="AJ17" i="1" s="1"/>
  <c r="AB18" i="1"/>
  <c r="AJ18" i="1" s="1"/>
  <c r="AB19" i="1"/>
  <c r="AJ19" i="1" s="1"/>
  <c r="AB20" i="1"/>
  <c r="AJ20" i="1" s="1"/>
  <c r="AB21" i="1"/>
  <c r="AB22" i="1"/>
  <c r="AJ22" i="1" s="1"/>
  <c r="AB23" i="1"/>
  <c r="AJ23" i="1" s="1"/>
  <c r="AB24" i="1"/>
  <c r="AJ24" i="1" s="1"/>
  <c r="AB25" i="1"/>
  <c r="AJ25" i="1" s="1"/>
  <c r="AB26" i="1"/>
  <c r="AJ26" i="1" s="1"/>
  <c r="AB27" i="1"/>
  <c r="AJ27" i="1" s="1"/>
  <c r="AB28" i="1"/>
  <c r="AB29" i="1"/>
  <c r="AJ29" i="1" s="1"/>
  <c r="AB30" i="1"/>
  <c r="AJ30" i="1" s="1"/>
  <c r="AB31" i="1"/>
  <c r="AJ31" i="1" s="1"/>
  <c r="AB32" i="1"/>
  <c r="AJ32" i="1" s="1"/>
  <c r="AC2" i="1"/>
  <c r="AK2" i="1" s="1"/>
  <c r="AD2" i="1"/>
  <c r="AL2" i="1" s="1"/>
  <c r="AB2" i="1"/>
  <c r="AJ2" i="1" s="1"/>
  <c r="AA3" i="1"/>
  <c r="AA4" i="1"/>
  <c r="AI4" i="1" s="1"/>
  <c r="AA5" i="1"/>
  <c r="AI5" i="1" s="1"/>
  <c r="AA6" i="1"/>
  <c r="AI6" i="1" s="1"/>
  <c r="AA7" i="1"/>
  <c r="AI7" i="1" s="1"/>
  <c r="AA8" i="1"/>
  <c r="AI8" i="1" s="1"/>
  <c r="AA9" i="1"/>
  <c r="AI9" i="1" s="1"/>
  <c r="AA10" i="1"/>
  <c r="AI10" i="1" s="1"/>
  <c r="AA11" i="1"/>
  <c r="AI11" i="1" s="1"/>
  <c r="AA12" i="1"/>
  <c r="AI12" i="1" s="1"/>
  <c r="AA13" i="1"/>
  <c r="AI13" i="1" s="1"/>
  <c r="AA14" i="1"/>
  <c r="AA15" i="1"/>
  <c r="AI15" i="1" s="1"/>
  <c r="AA16" i="1"/>
  <c r="AI16" i="1" s="1"/>
  <c r="AA17" i="1"/>
  <c r="AI17" i="1" s="1"/>
  <c r="AA18" i="1"/>
  <c r="AI18" i="1" s="1"/>
  <c r="AA19" i="1"/>
  <c r="AI19" i="1" s="1"/>
  <c r="AA20" i="1"/>
  <c r="AI20" i="1" s="1"/>
  <c r="AA21" i="1"/>
  <c r="AI21" i="1" s="1"/>
  <c r="AA22" i="1"/>
  <c r="AA23" i="1"/>
  <c r="AI23" i="1" s="1"/>
  <c r="AA24" i="1"/>
  <c r="AA25" i="1"/>
  <c r="AI25" i="1" s="1"/>
  <c r="AA26" i="1"/>
  <c r="AI26" i="1" s="1"/>
  <c r="AA27" i="1"/>
  <c r="AA28" i="1"/>
  <c r="AI28" i="1" s="1"/>
  <c r="AA29" i="1"/>
  <c r="AI29" i="1" s="1"/>
  <c r="AA30" i="1"/>
  <c r="AA31" i="1"/>
  <c r="AI31" i="1" s="1"/>
  <c r="AA32" i="1"/>
  <c r="AA2" i="1"/>
  <c r="AI2" i="1" s="1"/>
  <c r="Z3" i="1"/>
  <c r="AH3" i="1" s="1"/>
  <c r="Z4" i="1"/>
  <c r="AH4" i="1" s="1"/>
  <c r="Z5" i="1"/>
  <c r="AH5" i="1" s="1"/>
  <c r="Z6" i="1"/>
  <c r="AH6" i="1" s="1"/>
  <c r="Z7" i="1"/>
  <c r="AH7" i="1" s="1"/>
  <c r="Z8" i="1"/>
  <c r="AH8" i="1" s="1"/>
  <c r="Z9" i="1"/>
  <c r="AH9" i="1" s="1"/>
  <c r="Z10" i="1"/>
  <c r="AH10" i="1" s="1"/>
  <c r="Z11" i="1"/>
  <c r="Z12" i="1"/>
  <c r="AH12" i="1" s="1"/>
  <c r="Z13" i="1"/>
  <c r="AH13" i="1" s="1"/>
  <c r="Z14" i="1"/>
  <c r="AH14" i="1" s="1"/>
  <c r="Z15" i="1"/>
  <c r="AH15" i="1" s="1"/>
  <c r="Z16" i="1"/>
  <c r="AH16" i="1" s="1"/>
  <c r="Z17" i="1"/>
  <c r="AH17" i="1" s="1"/>
  <c r="Z18" i="1"/>
  <c r="AH18" i="1" s="1"/>
  <c r="Z19" i="1"/>
  <c r="AH19" i="1" s="1"/>
  <c r="Z20" i="1"/>
  <c r="AH20" i="1" s="1"/>
  <c r="Z21" i="1"/>
  <c r="AH21" i="1" s="1"/>
  <c r="Z22" i="1"/>
  <c r="AH22" i="1" s="1"/>
  <c r="Z23" i="1"/>
  <c r="AH23" i="1" s="1"/>
  <c r="Z24" i="1"/>
  <c r="AH24" i="1" s="1"/>
  <c r="Z25" i="1"/>
  <c r="AH25" i="1" s="1"/>
  <c r="Z26" i="1"/>
  <c r="AH26" i="1" s="1"/>
  <c r="Z27" i="1"/>
  <c r="AH27" i="1" s="1"/>
  <c r="Z28" i="1"/>
  <c r="AH28" i="1" s="1"/>
  <c r="Z29" i="1"/>
  <c r="AH29" i="1" s="1"/>
  <c r="Z30" i="1"/>
  <c r="AH30" i="1" s="1"/>
  <c r="Z31" i="1"/>
  <c r="AH31" i="1" s="1"/>
  <c r="Z32" i="1"/>
  <c r="AH32" i="1" s="1"/>
  <c r="Z2" i="1"/>
  <c r="AH2" i="1" s="1"/>
  <c r="Y3" i="1"/>
  <c r="Y4" i="1"/>
  <c r="Y5" i="1"/>
  <c r="Y6" i="1"/>
  <c r="AG6" i="1" s="1"/>
  <c r="Y7" i="1"/>
  <c r="AG7" i="1" s="1"/>
  <c r="Y8" i="1"/>
  <c r="Y9" i="1"/>
  <c r="Y10" i="1"/>
  <c r="AG10" i="1" s="1"/>
  <c r="Y11" i="1"/>
  <c r="AG11" i="1" s="1"/>
  <c r="Y12" i="1"/>
  <c r="Y13" i="1"/>
  <c r="Y14" i="1"/>
  <c r="AG14" i="1" s="1"/>
  <c r="Y15" i="1"/>
  <c r="AG15" i="1" s="1"/>
  <c r="Y16" i="1"/>
  <c r="Y17" i="1"/>
  <c r="AG17" i="1" s="1"/>
  <c r="Y18" i="1"/>
  <c r="Y19" i="1"/>
  <c r="Y20" i="1"/>
  <c r="Y21" i="1"/>
  <c r="AG21" i="1" s="1"/>
  <c r="Y22" i="1"/>
  <c r="AG22" i="1" s="1"/>
  <c r="Y23" i="1"/>
  <c r="AG23" i="1" s="1"/>
  <c r="Y24" i="1"/>
  <c r="Y25" i="1"/>
  <c r="Y26" i="1"/>
  <c r="AG26" i="1" s="1"/>
  <c r="Y27" i="1"/>
  <c r="AG27" i="1" s="1"/>
  <c r="Y28" i="1"/>
  <c r="Y29" i="1"/>
  <c r="Y30" i="1"/>
  <c r="AG30" i="1" s="1"/>
  <c r="Y31" i="1"/>
  <c r="AG31" i="1" s="1"/>
  <c r="Y32" i="1"/>
  <c r="Y2" i="1"/>
  <c r="AG2" i="1" s="1"/>
  <c r="AJ12" i="1"/>
  <c r="AJ21" i="1"/>
  <c r="AJ28" i="1"/>
  <c r="AI3" i="1"/>
  <c r="AI27" i="1"/>
  <c r="AH11" i="1"/>
  <c r="O2" i="1"/>
  <c r="O3" i="1"/>
  <c r="P3" i="1" s="1"/>
  <c r="Q3" i="1" s="1"/>
  <c r="O4" i="1"/>
  <c r="P4" i="1" s="1"/>
  <c r="Q4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9" i="1"/>
  <c r="P9" i="1" s="1"/>
  <c r="Q9" i="1" s="1"/>
  <c r="O10" i="1"/>
  <c r="P10" i="1" s="1"/>
  <c r="Q10" i="1" s="1"/>
  <c r="O11" i="1"/>
  <c r="P11" i="1" s="1"/>
  <c r="Q11" i="1" s="1"/>
  <c r="O12" i="1"/>
  <c r="P12" i="1" s="1"/>
  <c r="Q12" i="1" s="1"/>
  <c r="O13" i="1"/>
  <c r="P13" i="1" s="1"/>
  <c r="Q13" i="1" s="1"/>
  <c r="O14" i="1"/>
  <c r="P14" i="1" s="1"/>
  <c r="Q14" i="1" s="1"/>
  <c r="O15" i="1"/>
  <c r="P15" i="1" s="1"/>
  <c r="Q15" i="1" s="1"/>
  <c r="O16" i="1"/>
  <c r="P16" i="1" s="1"/>
  <c r="Q16" i="1" s="1"/>
  <c r="O17" i="1"/>
  <c r="P17" i="1" s="1"/>
  <c r="Q17" i="1" s="1"/>
  <c r="O18" i="1"/>
  <c r="P18" i="1" s="1"/>
  <c r="Q18" i="1" s="1"/>
  <c r="O19" i="1"/>
  <c r="P19" i="1" s="1"/>
  <c r="Q19" i="1" s="1"/>
  <c r="O20" i="1"/>
  <c r="P20" i="1" s="1"/>
  <c r="Q20" i="1" s="1"/>
  <c r="O21" i="1"/>
  <c r="P21" i="1" s="1"/>
  <c r="Q21" i="1" s="1"/>
  <c r="O22" i="1"/>
  <c r="P22" i="1" s="1"/>
  <c r="Q22" i="1" s="1"/>
  <c r="O23" i="1"/>
  <c r="P23" i="1" s="1"/>
  <c r="Q23" i="1" s="1"/>
  <c r="O24" i="1"/>
  <c r="P24" i="1" s="1"/>
  <c r="Q24" i="1" s="1"/>
  <c r="O25" i="1"/>
  <c r="P25" i="1" s="1"/>
  <c r="Q25" i="1" s="1"/>
  <c r="O26" i="1"/>
  <c r="P26" i="1" s="1"/>
  <c r="Q26" i="1" s="1"/>
  <c r="O27" i="1"/>
  <c r="P27" i="1" s="1"/>
  <c r="Q27" i="1" s="1"/>
  <c r="O28" i="1"/>
  <c r="P28" i="1" s="1"/>
  <c r="Q28" i="1" s="1"/>
  <c r="O29" i="1"/>
  <c r="P29" i="1" s="1"/>
  <c r="Q29" i="1" s="1"/>
  <c r="O30" i="1"/>
  <c r="P30" i="1" s="1"/>
  <c r="Q30" i="1" s="1"/>
  <c r="O31" i="1"/>
  <c r="P31" i="1" s="1"/>
  <c r="Q31" i="1" s="1"/>
  <c r="O32" i="1"/>
  <c r="P32" i="1" s="1"/>
  <c r="Q32" i="1" s="1"/>
  <c r="E2" i="1"/>
  <c r="E7" i="1"/>
  <c r="E8" i="1"/>
  <c r="E9" i="1"/>
  <c r="E10" i="1"/>
  <c r="E13" i="1"/>
  <c r="E14" i="1"/>
  <c r="E15" i="1"/>
  <c r="E19" i="1"/>
  <c r="E20" i="1"/>
  <c r="E21" i="1"/>
  <c r="E22" i="1"/>
  <c r="E23" i="1"/>
  <c r="E25" i="1"/>
  <c r="E26" i="1"/>
  <c r="E27" i="1"/>
  <c r="E31" i="1"/>
  <c r="E32" i="1"/>
  <c r="E12" i="1"/>
  <c r="AE6" i="1" l="1"/>
  <c r="AF6" i="1" s="1"/>
  <c r="AE9" i="1"/>
  <c r="AF9" i="1" s="1"/>
  <c r="AE25" i="1"/>
  <c r="AF25" i="1" s="1"/>
  <c r="AE27" i="1"/>
  <c r="AF27" i="1" s="1"/>
  <c r="AE19" i="1"/>
  <c r="AF19" i="1" s="1"/>
  <c r="AE11" i="1"/>
  <c r="AF11" i="1" s="1"/>
  <c r="AE3" i="1"/>
  <c r="AF3" i="1" s="1"/>
  <c r="AE5" i="1"/>
  <c r="AF5" i="1" s="1"/>
  <c r="AE2" i="1"/>
  <c r="AF2" i="1" s="1"/>
  <c r="AE8" i="1"/>
  <c r="AF8" i="1" s="1"/>
  <c r="AE22" i="1"/>
  <c r="AF22" i="1" s="1"/>
  <c r="AE14" i="1"/>
  <c r="AF14" i="1" s="1"/>
  <c r="AE32" i="1"/>
  <c r="AF32" i="1" s="1"/>
  <c r="AE24" i="1"/>
  <c r="AF24" i="1" s="1"/>
  <c r="AE16" i="1"/>
  <c r="AF16" i="1" s="1"/>
  <c r="AE30" i="1"/>
  <c r="AF30" i="1" s="1"/>
  <c r="AE31" i="1"/>
  <c r="AF31" i="1" s="1"/>
  <c r="AE23" i="1"/>
  <c r="AF23" i="1" s="1"/>
  <c r="AE26" i="1"/>
  <c r="AF26" i="1" s="1"/>
  <c r="AE18" i="1"/>
  <c r="AF18" i="1" s="1"/>
  <c r="AE29" i="1"/>
  <c r="AF29" i="1" s="1"/>
  <c r="AE13" i="1"/>
  <c r="AF13" i="1" s="1"/>
  <c r="AE10" i="1"/>
  <c r="AF10" i="1" s="1"/>
  <c r="AE28" i="1"/>
  <c r="AF28" i="1" s="1"/>
  <c r="AE20" i="1"/>
  <c r="AF20" i="1" s="1"/>
  <c r="AE12" i="1"/>
  <c r="AF12" i="1" s="1"/>
  <c r="AE4" i="1"/>
  <c r="AF4" i="1" s="1"/>
  <c r="AE17" i="1"/>
  <c r="AF17" i="1" s="1"/>
  <c r="AI30" i="1"/>
  <c r="AI14" i="1"/>
  <c r="AG29" i="1"/>
  <c r="AE15" i="1"/>
  <c r="AF15" i="1" s="1"/>
  <c r="AE7" i="1"/>
  <c r="AF7" i="1" s="1"/>
  <c r="AE21" i="1"/>
  <c r="AF21" i="1" s="1"/>
  <c r="AI22" i="1"/>
  <c r="AI32" i="1"/>
  <c r="AI24" i="1"/>
  <c r="AG5" i="1"/>
  <c r="AG13" i="1"/>
  <c r="AG28" i="1"/>
  <c r="AG20" i="1"/>
  <c r="AG12" i="1"/>
  <c r="AG4" i="1"/>
  <c r="AG3" i="1"/>
  <c r="AG18" i="1"/>
  <c r="AG25" i="1"/>
  <c r="AG9" i="1"/>
  <c r="AG32" i="1"/>
  <c r="AG24" i="1"/>
  <c r="AG16" i="1"/>
  <c r="AG8" i="1"/>
  <c r="AG19" i="1"/>
  <c r="P2" i="1"/>
  <c r="Q2" i="1" s="1"/>
</calcChain>
</file>

<file path=xl/sharedStrings.xml><?xml version="1.0" encoding="utf-8"?>
<sst xmlns="http://schemas.openxmlformats.org/spreadsheetml/2006/main" count="38" uniqueCount="38">
  <si>
    <t>Year</t>
  </si>
  <si>
    <t>Nacimientos</t>
  </si>
  <si>
    <t>Population</t>
  </si>
  <si>
    <t>CBR</t>
  </si>
  <si>
    <t>log_BR</t>
  </si>
  <si>
    <t>ID</t>
  </si>
  <si>
    <t>Crisis</t>
  </si>
  <si>
    <t>pop15_19</t>
  </si>
  <si>
    <t>pop20_24</t>
  </si>
  <si>
    <t>pop25_29</t>
  </si>
  <si>
    <t>pop35_39</t>
  </si>
  <si>
    <t>poip40_44</t>
  </si>
  <si>
    <t>pop30_34</t>
  </si>
  <si>
    <t>pop15_44</t>
  </si>
  <si>
    <t>log15_44</t>
  </si>
  <si>
    <t>nac20_24</t>
  </si>
  <si>
    <t>nac25_29</t>
  </si>
  <si>
    <t>nac30_34</t>
  </si>
  <si>
    <t>nac35_39</t>
  </si>
  <si>
    <t>nac40_44</t>
  </si>
  <si>
    <t>asfr15_19</t>
  </si>
  <si>
    <t>asfr20_24</t>
  </si>
  <si>
    <t>asfr25_29</t>
  </si>
  <si>
    <t>asfr30_34</t>
  </si>
  <si>
    <t>asfr35_39</t>
  </si>
  <si>
    <t>asfr40_44</t>
  </si>
  <si>
    <t>porctotal15_44</t>
  </si>
  <si>
    <t>TFR</t>
  </si>
  <si>
    <t>log_asfr15_19</t>
  </si>
  <si>
    <t>log_asfr20_24</t>
  </si>
  <si>
    <t>log_asfr25_29</t>
  </si>
  <si>
    <t>log_asfr30_34</t>
  </si>
  <si>
    <t>log_asfr35_39</t>
  </si>
  <si>
    <t>log_asfr40_44</t>
  </si>
  <si>
    <t>nac15_19</t>
  </si>
  <si>
    <t>log_TFR</t>
  </si>
  <si>
    <t>Crisis2</t>
  </si>
  <si>
    <t>nac_residual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</si>
</sst>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/>
    <xf numFmtId="0" fontId="16" fillId="0" borderId="0" xfId="0" applyFont="1"/>
    <xf numFmtId="0" fontId="0" fillId="33" borderId="0" xfId="0" applyFont="1" applyFill="1" applyBorder="1"/>
    <xf numFmtId="3" fontId="0" fillId="33" borderId="0" xfId="0" applyNumberFormat="1" applyFont="1" applyFill="1" applyBorder="1"/>
    <xf numFmtId="1" fontId="0" fillId="33" borderId="0" xfId="0" applyNumberFormat="1" applyFont="1" applyFill="1" applyBorder="1"/>
    <xf numFmtId="2" fontId="0" fillId="33" borderId="0" xfId="0" applyNumberFormat="1" applyFont="1" applyFill="1" applyBorder="1"/>
    <xf numFmtId="164" fontId="0" fillId="33" borderId="0" xfId="0" applyNumberFormat="1" applyFill="1" applyBorder="1"/>
    <xf numFmtId="1" fontId="18" fillId="33" borderId="0" xfId="0" applyNumberFormat="1" applyFont="1" applyFill="1" applyBorder="1" applyAlignment="1">
      <alignment horizontal="right"/>
    </xf>
    <xf numFmtId="3" fontId="0" fillId="33" borderId="0" xfId="0" applyNumberFormat="1" applyFont="1" applyFill="1" applyBorder="1" applyAlignment="1" applyProtection="1">
      <alignment horizontal="right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"/>
  <sheetViews>
    <sheetView tabSelected="1" zoomScale="108" workbookViewId="0">
      <selection activeCell="D2" sqref="D2:D32"/>
    </sheetView>
  </sheetViews>
  <sheetFormatPr defaultColWidth="8.85546875" defaultRowHeight="15" x14ac:dyDescent="0.25"/>
  <cols>
    <col min="2" max="2" width="12.140625" bestFit="1" customWidth="1"/>
    <col min="3" max="3" width="10.7109375" bestFit="1" customWidth="1"/>
    <col min="6" max="6" width="3" bestFit="1" customWidth="1"/>
    <col min="7" max="7" width="5.7109375" bestFit="1" customWidth="1"/>
    <col min="8" max="8" width="6.7109375" style="2" bestFit="1" customWidth="1"/>
    <col min="9" max="15" width="11.7109375" bestFit="1" customWidth="1"/>
    <col min="16" max="16" width="10.7109375" customWidth="1"/>
    <col min="18" max="21" width="9.7109375" bestFit="1" customWidth="1"/>
    <col min="22" max="22" width="9.28515625" bestFit="1" customWidth="1"/>
    <col min="23" max="23" width="9" bestFit="1" customWidth="1"/>
    <col min="24" max="24" width="9" style="2" customWidth="1"/>
    <col min="25" max="25" width="9" bestFit="1" customWidth="1"/>
    <col min="26" max="27" width="9.7109375" bestFit="1" customWidth="1"/>
    <col min="28" max="31" width="9" bestFit="1" customWidth="1"/>
    <col min="32" max="32" width="9" style="2" customWidth="1"/>
    <col min="33" max="33" width="12.140625" customWidth="1"/>
    <col min="34" max="34" width="13.42578125" customWidth="1"/>
    <col min="35" max="36" width="11.85546875" customWidth="1"/>
    <col min="37" max="37" width="12.7109375" customWidth="1"/>
    <col min="38" max="38" width="12.42578125" customWidth="1"/>
  </cols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</v>
      </c>
      <c r="I1" s="4" t="s">
        <v>7</v>
      </c>
      <c r="J1" s="4" t="s">
        <v>8</v>
      </c>
      <c r="K1" s="4" t="s">
        <v>9</v>
      </c>
      <c r="L1" s="4" t="s">
        <v>12</v>
      </c>
      <c r="M1" s="4" t="s">
        <v>10</v>
      </c>
      <c r="N1" s="4" t="s">
        <v>11</v>
      </c>
      <c r="O1" s="4" t="s">
        <v>13</v>
      </c>
      <c r="P1" s="4" t="s">
        <v>26</v>
      </c>
      <c r="Q1" s="4" t="s">
        <v>14</v>
      </c>
      <c r="R1" s="4" t="s">
        <v>34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37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27</v>
      </c>
      <c r="AF1" s="4" t="s">
        <v>35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</row>
    <row r="2" spans="1:38" x14ac:dyDescent="0.25">
      <c r="A2" s="4">
        <v>1990</v>
      </c>
      <c r="B2" s="5">
        <v>66555</v>
      </c>
      <c r="C2" s="4">
        <v>3527593</v>
      </c>
      <c r="D2" s="4">
        <f>B2/C2*1000</f>
        <v>18.866972465360941</v>
      </c>
      <c r="E2" s="4">
        <f>LOG(D2)</f>
        <v>1.2757022156351752</v>
      </c>
      <c r="F2" s="4">
        <v>1</v>
      </c>
      <c r="G2" s="4">
        <v>0</v>
      </c>
      <c r="H2" s="4">
        <v>0</v>
      </c>
      <c r="I2" s="6">
        <v>161348</v>
      </c>
      <c r="J2" s="6">
        <v>146468</v>
      </c>
      <c r="K2" s="6">
        <v>141784</v>
      </c>
      <c r="L2" s="6">
        <v>135283</v>
      </c>
      <c r="M2" s="6">
        <v>126275</v>
      </c>
      <c r="N2" s="6">
        <v>120815</v>
      </c>
      <c r="O2" s="6">
        <f>SUM(I2:N2)</f>
        <v>831973</v>
      </c>
      <c r="P2" s="7">
        <f>O2/C2*100</f>
        <v>23.584721933624429</v>
      </c>
      <c r="Q2" s="4">
        <f>LOG(P2)</f>
        <v>1.372630760233855</v>
      </c>
      <c r="R2" s="6">
        <v>12155</v>
      </c>
      <c r="S2" s="6">
        <v>21340</v>
      </c>
      <c r="T2" s="6">
        <v>18455</v>
      </c>
      <c r="U2" s="6">
        <v>9749</v>
      </c>
      <c r="V2" s="6">
        <v>3663</v>
      </c>
      <c r="W2" s="6">
        <v>788</v>
      </c>
      <c r="X2" s="6">
        <f>B2-SUM(R2:W2)</f>
        <v>405</v>
      </c>
      <c r="Y2" s="8">
        <f>(R2/I2)*1000</f>
        <v>75.334060539950912</v>
      </c>
      <c r="Z2" s="8">
        <f>S2/J2*1000</f>
        <v>145.69735368817763</v>
      </c>
      <c r="AA2" s="8">
        <f>T2/K2*1000</f>
        <v>130.16278282457824</v>
      </c>
      <c r="AB2" s="8">
        <f>U2/L2*1000</f>
        <v>72.063747847105702</v>
      </c>
      <c r="AC2" s="8">
        <f>V2/M2*1000</f>
        <v>29.008117204513958</v>
      </c>
      <c r="AD2" s="8">
        <f>W2/N2*1000</f>
        <v>6.5223689111451391</v>
      </c>
      <c r="AE2" s="8">
        <f>SUM(Y2:AD2)*5/1000</f>
        <v>2.2939421550773575</v>
      </c>
      <c r="AF2" s="8">
        <f>LOG(AE2)</f>
        <v>0.36058246236758251</v>
      </c>
      <c r="AG2" s="8">
        <f t="shared" ref="AG2:AL2" si="0">LOG(Y2)</f>
        <v>1.8769913767325643</v>
      </c>
      <c r="AH2" s="8">
        <f t="shared" si="0"/>
        <v>2.1634516637187957</v>
      </c>
      <c r="AI2" s="8">
        <f t="shared" si="0"/>
        <v>2.1144868250581741</v>
      </c>
      <c r="AJ2" s="8">
        <f t="shared" si="0"/>
        <v>1.8577168448943886</v>
      </c>
      <c r="AK2" s="8">
        <f t="shared" si="0"/>
        <v>1.4625195414801577</v>
      </c>
      <c r="AL2" s="8">
        <f t="shared" si="0"/>
        <v>0.8144053592573619</v>
      </c>
    </row>
    <row r="3" spans="1:38" x14ac:dyDescent="0.25">
      <c r="A3" s="4">
        <v>1991</v>
      </c>
      <c r="B3" s="5">
        <v>64516</v>
      </c>
      <c r="C3" s="4">
        <v>3550566</v>
      </c>
      <c r="D3" s="4">
        <f t="shared" ref="D3:D32" si="1">B3/C3*1000</f>
        <v>18.170624063881647</v>
      </c>
      <c r="E3" s="4">
        <f t="shared" ref="E3:E32" si="2">LOG(D3)</f>
        <v>1.259369843259929</v>
      </c>
      <c r="F3" s="4">
        <v>2</v>
      </c>
      <c r="G3" s="4">
        <v>0</v>
      </c>
      <c r="H3" s="4">
        <v>0</v>
      </c>
      <c r="I3" s="6">
        <v>162325</v>
      </c>
      <c r="J3" s="6">
        <v>147355</v>
      </c>
      <c r="K3" s="6">
        <v>143643</v>
      </c>
      <c r="L3" s="6">
        <v>136102</v>
      </c>
      <c r="M3" s="6">
        <v>127039</v>
      </c>
      <c r="N3" s="6">
        <v>121547</v>
      </c>
      <c r="O3" s="6">
        <f t="shared" ref="O3:O32" si="3">SUM(I3:N3)</f>
        <v>838011</v>
      </c>
      <c r="P3" s="7">
        <f t="shared" ref="P3:P32" si="4">O3/C3*100</f>
        <v>23.602180610077379</v>
      </c>
      <c r="Q3" s="4">
        <f t="shared" ref="Q3:Q32" si="5">LOG(P3)</f>
        <v>1.3729521293758031</v>
      </c>
      <c r="R3" s="6">
        <v>11845</v>
      </c>
      <c r="S3" s="6">
        <v>20664</v>
      </c>
      <c r="T3" s="6">
        <v>17938</v>
      </c>
      <c r="U3" s="6">
        <v>9381</v>
      </c>
      <c r="V3" s="6">
        <v>3526</v>
      </c>
      <c r="W3" s="6">
        <v>821</v>
      </c>
      <c r="X3" s="6">
        <f t="shared" ref="X3:X32" si="6">B3-SUM(R3:W3)</f>
        <v>341</v>
      </c>
      <c r="Y3" s="8">
        <f t="shared" ref="Y3:Y32" si="7">(R3/I3)*1000</f>
        <v>72.970891729554893</v>
      </c>
      <c r="Z3" s="8">
        <f t="shared" ref="Z3:Z32" si="8">S3/J3*1000</f>
        <v>140.23277119880561</v>
      </c>
      <c r="AA3" s="8">
        <f t="shared" ref="AA3:AA32" si="9">T3/K3*1000</f>
        <v>124.87904039876639</v>
      </c>
      <c r="AB3" s="8">
        <f t="shared" ref="AB3:AB32" si="10">U3/L3*1000</f>
        <v>68.926246491601887</v>
      </c>
      <c r="AC3" s="8">
        <f t="shared" ref="AC3:AC32" si="11">V3/M3*1000</f>
        <v>27.755256259888696</v>
      </c>
      <c r="AD3" s="8">
        <f t="shared" ref="AD3:AD32" si="12">W3/N3*1000</f>
        <v>6.7545887599035765</v>
      </c>
      <c r="AE3" s="8">
        <f t="shared" ref="AE3:AE32" si="13">SUM(Y3:AD3)*5/1000</f>
        <v>2.2075939741926054</v>
      </c>
      <c r="AF3" s="8">
        <f>LOG(AE3)</f>
        <v>0.34391919995271492</v>
      </c>
      <c r="AG3" s="8">
        <f t="shared" ref="AG3:AG32" si="14">LOG(Y3)</f>
        <v>1.8631496535139902</v>
      </c>
      <c r="AH3" s="8">
        <f t="shared" ref="AH3:AH32" si="15">LOG(Z3)</f>
        <v>2.1468495163958878</v>
      </c>
      <c r="AI3" s="8">
        <f t="shared" ref="AI3:AI32" si="16">LOG(AA3)</f>
        <v>2.0964895528416627</v>
      </c>
      <c r="AJ3" s="8">
        <f t="shared" ref="AJ3:AJ32" si="17">LOG(AB3)</f>
        <v>1.8383846288152355</v>
      </c>
      <c r="AK3" s="8">
        <f t="shared" ref="AK3:AK32" si="18">LOG(AC3)</f>
        <v>1.4433452414586134</v>
      </c>
      <c r="AL3" s="8">
        <f t="shared" ref="AL3:AL32" si="19">LOG(AD3)</f>
        <v>0.82959891298183319</v>
      </c>
    </row>
    <row r="4" spans="1:38" x14ac:dyDescent="0.25">
      <c r="A4" s="4">
        <v>1992</v>
      </c>
      <c r="B4" s="5">
        <v>64481</v>
      </c>
      <c r="C4" s="4">
        <v>3574772</v>
      </c>
      <c r="D4" s="4">
        <f t="shared" si="1"/>
        <v>18.037793739013285</v>
      </c>
      <c r="E4" s="4">
        <f t="shared" si="2"/>
        <v>1.2561834164892913</v>
      </c>
      <c r="F4" s="4">
        <v>3</v>
      </c>
      <c r="G4" s="4">
        <v>0</v>
      </c>
      <c r="H4" s="4">
        <v>0</v>
      </c>
      <c r="I4" s="6">
        <v>163682</v>
      </c>
      <c r="J4" s="6">
        <v>148587</v>
      </c>
      <c r="K4" s="6">
        <v>143834</v>
      </c>
      <c r="L4" s="6">
        <v>137240</v>
      </c>
      <c r="M4" s="6">
        <v>128102</v>
      </c>
      <c r="N4" s="6">
        <v>122563</v>
      </c>
      <c r="O4" s="6">
        <f t="shared" si="3"/>
        <v>844008</v>
      </c>
      <c r="P4" s="7">
        <f t="shared" si="4"/>
        <v>23.610121148985165</v>
      </c>
      <c r="Q4" s="4">
        <f t="shared" si="5"/>
        <v>1.373098215549746</v>
      </c>
      <c r="R4" s="6">
        <v>11999</v>
      </c>
      <c r="S4" s="6">
        <v>20504</v>
      </c>
      <c r="T4" s="6">
        <v>17541</v>
      </c>
      <c r="U4" s="6">
        <v>9702</v>
      </c>
      <c r="V4" s="6">
        <v>3592</v>
      </c>
      <c r="W4" s="6">
        <v>696</v>
      </c>
      <c r="X4" s="6">
        <f t="shared" si="6"/>
        <v>447</v>
      </c>
      <c r="Y4" s="8">
        <f t="shared" si="7"/>
        <v>73.30677777642012</v>
      </c>
      <c r="Z4" s="8">
        <f t="shared" si="8"/>
        <v>137.99322955574848</v>
      </c>
      <c r="AA4" s="8">
        <f t="shared" si="9"/>
        <v>121.95308480609592</v>
      </c>
      <c r="AB4" s="8">
        <f t="shared" si="10"/>
        <v>70.69367531331973</v>
      </c>
      <c r="AC4" s="8">
        <f t="shared" si="11"/>
        <v>28.040155501085074</v>
      </c>
      <c r="AD4" s="8">
        <f t="shared" si="12"/>
        <v>5.6787121725153593</v>
      </c>
      <c r="AE4" s="8">
        <f t="shared" si="13"/>
        <v>2.188328175625923</v>
      </c>
      <c r="AF4" s="8">
        <f>LOG(AE4)</f>
        <v>0.34011245211108754</v>
      </c>
      <c r="AG4" s="8">
        <f t="shared" si="14"/>
        <v>1.8651441303685174</v>
      </c>
      <c r="AH4" s="8">
        <f t="shared" si="15"/>
        <v>2.139857778874354</v>
      </c>
      <c r="AI4" s="8">
        <f t="shared" si="16"/>
        <v>2.086192790277638</v>
      </c>
      <c r="AJ4" s="8">
        <f t="shared" si="17"/>
        <v>1.8493805609059091</v>
      </c>
      <c r="AK4" s="8">
        <f t="shared" si="18"/>
        <v>1.4477804177495397</v>
      </c>
      <c r="AL4" s="8">
        <f t="shared" si="19"/>
        <v>0.75424985687572055</v>
      </c>
    </row>
    <row r="5" spans="1:38" x14ac:dyDescent="0.25">
      <c r="A5" s="4">
        <v>1993</v>
      </c>
      <c r="B5" s="5">
        <v>65242</v>
      </c>
      <c r="C5" s="4">
        <v>3600252</v>
      </c>
      <c r="D5" s="4">
        <f t="shared" si="1"/>
        <v>18.12150927212873</v>
      </c>
      <c r="E5" s="4">
        <f t="shared" si="2"/>
        <v>1.2581943655957992</v>
      </c>
      <c r="F5" s="4">
        <v>4</v>
      </c>
      <c r="G5" s="4">
        <v>0</v>
      </c>
      <c r="H5" s="4">
        <v>0</v>
      </c>
      <c r="I5" s="6">
        <v>165636</v>
      </c>
      <c r="J5" s="6">
        <v>150360</v>
      </c>
      <c r="K5" s="6">
        <v>145550</v>
      </c>
      <c r="L5" s="6">
        <v>138878</v>
      </c>
      <c r="M5" s="6">
        <v>129631</v>
      </c>
      <c r="N5" s="6">
        <v>124026</v>
      </c>
      <c r="O5" s="6">
        <f t="shared" si="3"/>
        <v>854081</v>
      </c>
      <c r="P5" s="7">
        <f t="shared" si="4"/>
        <v>23.722811625408443</v>
      </c>
      <c r="Q5" s="4">
        <f t="shared" si="5"/>
        <v>1.3751661602839811</v>
      </c>
      <c r="R5" s="6">
        <v>12428</v>
      </c>
      <c r="S5" s="6">
        <v>20670</v>
      </c>
      <c r="T5" s="6">
        <v>17303</v>
      </c>
      <c r="U5" s="6">
        <v>10008</v>
      </c>
      <c r="V5" s="6">
        <v>3624</v>
      </c>
      <c r="W5" s="6">
        <v>763</v>
      </c>
      <c r="X5" s="6">
        <f t="shared" si="6"/>
        <v>446</v>
      </c>
      <c r="Y5" s="8">
        <f t="shared" si="7"/>
        <v>75.031997874858121</v>
      </c>
      <c r="Z5" s="8">
        <f t="shared" si="8"/>
        <v>137.47007182761374</v>
      </c>
      <c r="AA5" s="8">
        <f t="shared" si="9"/>
        <v>118.88010992785985</v>
      </c>
      <c r="AB5" s="8">
        <f t="shared" si="10"/>
        <v>72.063249758781083</v>
      </c>
      <c r="AC5" s="8">
        <f t="shared" si="11"/>
        <v>27.956275890797727</v>
      </c>
      <c r="AD5" s="8">
        <f t="shared" si="12"/>
        <v>6.1519358844113334</v>
      </c>
      <c r="AE5" s="8">
        <f t="shared" si="13"/>
        <v>2.1877682058216092</v>
      </c>
      <c r="AF5" s="8">
        <f t="shared" ref="AF5:AF32" si="20">LOG(AE5)</f>
        <v>0.34000130657123867</v>
      </c>
      <c r="AG5" s="8">
        <f t="shared" si="14"/>
        <v>1.8752465105508533</v>
      </c>
      <c r="AH5" s="8">
        <f t="shared" si="15"/>
        <v>2.1382081595855134</v>
      </c>
      <c r="AI5" s="8">
        <f t="shared" si="16"/>
        <v>2.0751091980066825</v>
      </c>
      <c r="AJ5" s="8">
        <f t="shared" si="17"/>
        <v>1.8577138431387914</v>
      </c>
      <c r="AK5" s="8">
        <f t="shared" si="18"/>
        <v>1.44647931772466</v>
      </c>
      <c r="AL5" s="8">
        <f t="shared" si="19"/>
        <v>0.78901180059190157</v>
      </c>
    </row>
    <row r="6" spans="1:38" x14ac:dyDescent="0.25">
      <c r="A6" s="4">
        <v>1994</v>
      </c>
      <c r="B6" s="5">
        <v>64325</v>
      </c>
      <c r="C6" s="4">
        <v>3627048</v>
      </c>
      <c r="D6" s="4">
        <f t="shared" si="1"/>
        <v>17.734808031214367</v>
      </c>
      <c r="E6" s="4">
        <f t="shared" si="2"/>
        <v>1.248826491853041</v>
      </c>
      <c r="F6" s="4">
        <v>5</v>
      </c>
      <c r="G6" s="4">
        <v>0</v>
      </c>
      <c r="H6" s="4">
        <v>0</v>
      </c>
      <c r="I6" s="6">
        <v>168572</v>
      </c>
      <c r="J6" s="6">
        <v>153025</v>
      </c>
      <c r="K6" s="6">
        <v>148131</v>
      </c>
      <c r="L6" s="6">
        <v>141339</v>
      </c>
      <c r="M6" s="6">
        <v>131928</v>
      </c>
      <c r="N6" s="6">
        <v>126224</v>
      </c>
      <c r="O6" s="6">
        <f t="shared" si="3"/>
        <v>869219</v>
      </c>
      <c r="P6" s="7">
        <f t="shared" si="4"/>
        <v>23.964915821351138</v>
      </c>
      <c r="Q6" s="4">
        <f t="shared" si="5"/>
        <v>1.3795759078370118</v>
      </c>
      <c r="R6" s="6">
        <v>12335</v>
      </c>
      <c r="S6" s="6">
        <v>20469</v>
      </c>
      <c r="T6" s="6">
        <v>16796</v>
      </c>
      <c r="U6" s="6">
        <v>9735</v>
      </c>
      <c r="V6" s="6">
        <v>3796</v>
      </c>
      <c r="W6" s="6">
        <v>693</v>
      </c>
      <c r="X6" s="6">
        <f t="shared" si="6"/>
        <v>501</v>
      </c>
      <c r="Y6" s="8">
        <f t="shared" si="7"/>
        <v>73.173480767861804</v>
      </c>
      <c r="Z6" s="8">
        <f t="shared" si="8"/>
        <v>133.76245711485052</v>
      </c>
      <c r="AA6" s="8">
        <f t="shared" si="9"/>
        <v>113.38612444390438</v>
      </c>
      <c r="AB6" s="8">
        <f t="shared" si="10"/>
        <v>68.876955405089902</v>
      </c>
      <c r="AC6" s="8">
        <f t="shared" si="11"/>
        <v>28.773270268631375</v>
      </c>
      <c r="AD6" s="8">
        <f t="shared" si="12"/>
        <v>5.4902395740905057</v>
      </c>
      <c r="AE6" s="8">
        <f t="shared" si="13"/>
        <v>2.1173126378721423</v>
      </c>
      <c r="AF6" s="8">
        <f t="shared" si="20"/>
        <v>0.32578498975202791</v>
      </c>
      <c r="AG6" s="8">
        <f t="shared" si="14"/>
        <v>1.8643537143516971</v>
      </c>
      <c r="AH6" s="8">
        <f t="shared" si="15"/>
        <v>2.1263342378283436</v>
      </c>
      <c r="AI6" s="8">
        <f t="shared" si="16"/>
        <v>2.0545599112927841</v>
      </c>
      <c r="AJ6" s="8">
        <f t="shared" si="17"/>
        <v>1.8380739415815937</v>
      </c>
      <c r="AK6" s="8">
        <f t="shared" si="18"/>
        <v>1.4589892250779184</v>
      </c>
      <c r="AL6" s="8">
        <f t="shared" si="19"/>
        <v>0.73959129589551864</v>
      </c>
    </row>
    <row r="7" spans="1:38" x14ac:dyDescent="0.25">
      <c r="A7" s="4">
        <v>1995</v>
      </c>
      <c r="B7" s="5">
        <v>63518</v>
      </c>
      <c r="C7" s="4">
        <v>3655194</v>
      </c>
      <c r="D7" s="4">
        <f t="shared" si="1"/>
        <v>17.377463412338713</v>
      </c>
      <c r="E7" s="4">
        <f t="shared" si="2"/>
        <v>1.2399863827902999</v>
      </c>
      <c r="F7" s="4">
        <v>6</v>
      </c>
      <c r="G7" s="4">
        <v>0</v>
      </c>
      <c r="H7" s="4">
        <v>0</v>
      </c>
      <c r="I7" s="6">
        <v>167241</v>
      </c>
      <c r="J7" s="6">
        <v>161238</v>
      </c>
      <c r="K7" s="6">
        <v>146142</v>
      </c>
      <c r="L7" s="6">
        <v>141214</v>
      </c>
      <c r="M7" s="6">
        <v>134494</v>
      </c>
      <c r="N7" s="6">
        <v>125364</v>
      </c>
      <c r="O7" s="6">
        <f t="shared" si="3"/>
        <v>875693</v>
      </c>
      <c r="P7" s="7">
        <f t="shared" si="4"/>
        <v>23.957497194403363</v>
      </c>
      <c r="Q7" s="4">
        <f t="shared" si="5"/>
        <v>1.3794414459612545</v>
      </c>
      <c r="R7" s="6">
        <v>12493</v>
      </c>
      <c r="S7" s="6">
        <v>20054</v>
      </c>
      <c r="T7" s="6">
        <v>16055</v>
      </c>
      <c r="U7" s="6">
        <v>9990</v>
      </c>
      <c r="V7" s="6">
        <v>3732</v>
      </c>
      <c r="W7" s="6">
        <v>732</v>
      </c>
      <c r="X7" s="6">
        <f t="shared" si="6"/>
        <v>462</v>
      </c>
      <c r="Y7" s="8">
        <f t="shared" si="7"/>
        <v>74.700581795133971</v>
      </c>
      <c r="Z7" s="8">
        <f t="shared" si="8"/>
        <v>124.3751472977834</v>
      </c>
      <c r="AA7" s="8">
        <f t="shared" si="9"/>
        <v>109.85890435330022</v>
      </c>
      <c r="AB7" s="8">
        <f t="shared" si="10"/>
        <v>70.743693968020168</v>
      </c>
      <c r="AC7" s="8">
        <f t="shared" si="11"/>
        <v>27.748449744970035</v>
      </c>
      <c r="AD7" s="8">
        <f t="shared" si="12"/>
        <v>5.8389968411984299</v>
      </c>
      <c r="AE7" s="8">
        <f t="shared" si="13"/>
        <v>2.0663288700020312</v>
      </c>
      <c r="AF7" s="8">
        <f t="shared" si="20"/>
        <v>0.31519944354403451</v>
      </c>
      <c r="AG7" s="8">
        <f t="shared" si="14"/>
        <v>1.8733239842709857</v>
      </c>
      <c r="AH7" s="8">
        <f t="shared" si="15"/>
        <v>2.0947336080900767</v>
      </c>
      <c r="AI7" s="8">
        <f t="shared" si="16"/>
        <v>2.0408352633937996</v>
      </c>
      <c r="AJ7" s="8">
        <f t="shared" si="17"/>
        <v>1.8496877332853812</v>
      </c>
      <c r="AK7" s="8">
        <f t="shared" si="18"/>
        <v>1.4432387248997109</v>
      </c>
      <c r="AL7" s="8">
        <f t="shared" si="19"/>
        <v>0.76633824030515574</v>
      </c>
    </row>
    <row r="8" spans="1:38" x14ac:dyDescent="0.25">
      <c r="A8" s="4">
        <v>1996</v>
      </c>
      <c r="B8" s="5">
        <v>63259</v>
      </c>
      <c r="C8" s="4">
        <v>3684739</v>
      </c>
      <c r="D8" s="4">
        <f t="shared" si="1"/>
        <v>17.167837396352905</v>
      </c>
      <c r="E8" s="4">
        <f t="shared" si="2"/>
        <v>1.2347155912597432</v>
      </c>
      <c r="F8" s="4">
        <v>7</v>
      </c>
      <c r="G8" s="4">
        <v>0</v>
      </c>
      <c r="H8" s="4">
        <v>0</v>
      </c>
      <c r="I8" s="6">
        <v>167870</v>
      </c>
      <c r="J8" s="6">
        <v>161845</v>
      </c>
      <c r="K8" s="6">
        <v>146692</v>
      </c>
      <c r="L8" s="6">
        <v>141745</v>
      </c>
      <c r="M8" s="6">
        <v>135001</v>
      </c>
      <c r="N8" s="6">
        <v>125836</v>
      </c>
      <c r="O8" s="6">
        <f t="shared" si="3"/>
        <v>878989</v>
      </c>
      <c r="P8" s="7">
        <f t="shared" si="4"/>
        <v>23.854851049151648</v>
      </c>
      <c r="Q8" s="4">
        <f t="shared" si="5"/>
        <v>1.3775767091475766</v>
      </c>
      <c r="R8" s="6">
        <v>12592</v>
      </c>
      <c r="S8" s="6">
        <v>19817</v>
      </c>
      <c r="T8" s="6">
        <v>16019</v>
      </c>
      <c r="U8" s="6">
        <v>9756</v>
      </c>
      <c r="V8" s="6">
        <v>3897</v>
      </c>
      <c r="W8" s="6">
        <v>717</v>
      </c>
      <c r="X8" s="6">
        <f t="shared" si="6"/>
        <v>461</v>
      </c>
      <c r="Y8" s="8">
        <f t="shared" si="7"/>
        <v>75.010424733424671</v>
      </c>
      <c r="Z8" s="8">
        <f t="shared" si="8"/>
        <v>122.44431400413976</v>
      </c>
      <c r="AA8" s="8">
        <f t="shared" si="9"/>
        <v>109.20159245221279</v>
      </c>
      <c r="AB8" s="8">
        <f t="shared" si="10"/>
        <v>68.827824614624859</v>
      </c>
      <c r="AC8" s="8">
        <f t="shared" si="11"/>
        <v>28.866452841090066</v>
      </c>
      <c r="AD8" s="8">
        <f t="shared" si="12"/>
        <v>5.697892494993483</v>
      </c>
      <c r="AE8" s="8">
        <f t="shared" si="13"/>
        <v>2.0502425057024283</v>
      </c>
      <c r="AF8" s="8">
        <f t="shared" si="20"/>
        <v>0.31180523308478481</v>
      </c>
      <c r="AG8" s="8">
        <f t="shared" si="14"/>
        <v>1.8751216245861568</v>
      </c>
      <c r="AH8" s="8">
        <f t="shared" si="15"/>
        <v>2.0879386224214391</v>
      </c>
      <c r="AI8" s="8">
        <f t="shared" si="16"/>
        <v>2.0382289715936821</v>
      </c>
      <c r="AJ8" s="8">
        <f t="shared" si="17"/>
        <v>1.8377640433762761</v>
      </c>
      <c r="AK8" s="8">
        <f t="shared" si="18"/>
        <v>1.4603934203134368</v>
      </c>
      <c r="AL8" s="8">
        <f t="shared" si="19"/>
        <v>0.75571425092810607</v>
      </c>
    </row>
    <row r="9" spans="1:38" x14ac:dyDescent="0.25">
      <c r="A9" s="4">
        <v>1997</v>
      </c>
      <c r="B9" s="5">
        <v>64214</v>
      </c>
      <c r="C9" s="4">
        <v>3715726</v>
      </c>
      <c r="D9" s="4">
        <f t="shared" si="1"/>
        <v>17.281683310340966</v>
      </c>
      <c r="E9" s="4">
        <f t="shared" si="2"/>
        <v>1.2375860423551102</v>
      </c>
      <c r="F9" s="4">
        <v>8</v>
      </c>
      <c r="G9" s="4">
        <v>0</v>
      </c>
      <c r="H9" s="4">
        <v>0</v>
      </c>
      <c r="I9" s="6">
        <v>167217</v>
      </c>
      <c r="J9" s="6">
        <v>165070.33333333334</v>
      </c>
      <c r="K9" s="6">
        <v>150733.33333333334</v>
      </c>
      <c r="L9" s="6">
        <v>142530.33333333334</v>
      </c>
      <c r="M9" s="6">
        <v>136192.33333333334</v>
      </c>
      <c r="N9" s="6">
        <v>127363.66666666667</v>
      </c>
      <c r="O9" s="6">
        <f t="shared" si="3"/>
        <v>889107.00000000012</v>
      </c>
      <c r="P9" s="7">
        <f t="shared" si="4"/>
        <v>23.9282175273419</v>
      </c>
      <c r="Q9" s="4">
        <f t="shared" si="5"/>
        <v>1.378910348138225</v>
      </c>
      <c r="R9" s="6">
        <v>12939</v>
      </c>
      <c r="S9" s="6">
        <v>20032</v>
      </c>
      <c r="T9" s="6">
        <v>16167</v>
      </c>
      <c r="U9" s="6">
        <v>9997</v>
      </c>
      <c r="V9" s="6">
        <v>3835</v>
      </c>
      <c r="W9" s="6">
        <v>826</v>
      </c>
      <c r="X9" s="6">
        <f t="shared" si="6"/>
        <v>418</v>
      </c>
      <c r="Y9" s="8">
        <f t="shared" si="7"/>
        <v>77.378496205529345</v>
      </c>
      <c r="Z9" s="8">
        <f t="shared" si="8"/>
        <v>121.3543317898835</v>
      </c>
      <c r="AA9" s="8">
        <f t="shared" si="9"/>
        <v>107.25563909774435</v>
      </c>
      <c r="AB9" s="8">
        <f t="shared" si="10"/>
        <v>70.139455694811161</v>
      </c>
      <c r="AC9" s="8">
        <f t="shared" si="11"/>
        <v>28.158706926723724</v>
      </c>
      <c r="AD9" s="8">
        <f t="shared" si="12"/>
        <v>6.4853660515426945</v>
      </c>
      <c r="AE9" s="8">
        <f t="shared" si="13"/>
        <v>2.0538599788311735</v>
      </c>
      <c r="AF9" s="8">
        <f t="shared" si="20"/>
        <v>0.31257083239962929</v>
      </c>
      <c r="AG9" s="8">
        <f t="shared" si="14"/>
        <v>1.8886202852716742</v>
      </c>
      <c r="AH9" s="8">
        <f t="shared" si="15"/>
        <v>2.084055283254409</v>
      </c>
      <c r="AI9" s="8">
        <f t="shared" si="16"/>
        <v>2.0304201350260094</v>
      </c>
      <c r="AJ9" s="8">
        <f t="shared" si="17"/>
        <v>1.84596239129089</v>
      </c>
      <c r="AK9" s="8">
        <f t="shared" si="18"/>
        <v>1.4496127077327738</v>
      </c>
      <c r="AL9" s="8">
        <f t="shared" si="19"/>
        <v>0.81193449386320371</v>
      </c>
    </row>
    <row r="10" spans="1:38" x14ac:dyDescent="0.25">
      <c r="A10" s="4">
        <v>1998</v>
      </c>
      <c r="B10" s="5">
        <v>60518</v>
      </c>
      <c r="C10" s="4">
        <v>3748150</v>
      </c>
      <c r="D10" s="4">
        <f t="shared" si="1"/>
        <v>16.146098742046075</v>
      </c>
      <c r="E10" s="4">
        <f t="shared" si="2"/>
        <v>1.2080676040990033</v>
      </c>
      <c r="F10" s="4">
        <v>9</v>
      </c>
      <c r="G10" s="4">
        <v>0</v>
      </c>
      <c r="H10" s="4">
        <v>0</v>
      </c>
      <c r="I10" s="6">
        <v>166564</v>
      </c>
      <c r="J10" s="6">
        <v>168295.66666666669</v>
      </c>
      <c r="K10" s="6">
        <v>154774.66666666669</v>
      </c>
      <c r="L10" s="6">
        <v>143315.66666666669</v>
      </c>
      <c r="M10" s="6">
        <v>137383.66666666669</v>
      </c>
      <c r="N10" s="6">
        <v>128891.33333333334</v>
      </c>
      <c r="O10" s="6">
        <f t="shared" si="3"/>
        <v>899225.00000000012</v>
      </c>
      <c r="P10" s="7">
        <f t="shared" si="4"/>
        <v>23.991168976695175</v>
      </c>
      <c r="Q10" s="4">
        <f t="shared" si="5"/>
        <v>1.3800514096084957</v>
      </c>
      <c r="R10" s="6">
        <v>12017</v>
      </c>
      <c r="S10" s="6">
        <v>19209</v>
      </c>
      <c r="T10" s="6">
        <v>15308</v>
      </c>
      <c r="U10" s="6">
        <v>9256</v>
      </c>
      <c r="V10" s="6">
        <v>3646</v>
      </c>
      <c r="W10" s="6">
        <v>723</v>
      </c>
      <c r="X10" s="6">
        <f t="shared" si="6"/>
        <v>359</v>
      </c>
      <c r="Y10" s="8">
        <f t="shared" si="7"/>
        <v>72.146442208400373</v>
      </c>
      <c r="Z10" s="8">
        <f t="shared" si="8"/>
        <v>114.13841116923192</v>
      </c>
      <c r="AA10" s="8">
        <f t="shared" si="9"/>
        <v>98.905074904592468</v>
      </c>
      <c r="AB10" s="8">
        <f t="shared" si="10"/>
        <v>64.58470462638418</v>
      </c>
      <c r="AC10" s="8">
        <f t="shared" si="11"/>
        <v>26.53881708402988</v>
      </c>
      <c r="AD10" s="8">
        <f t="shared" si="12"/>
        <v>5.6093763738963567</v>
      </c>
      <c r="AE10" s="8">
        <f t="shared" si="13"/>
        <v>1.9096141318326754</v>
      </c>
      <c r="AF10" s="8">
        <f t="shared" si="20"/>
        <v>0.28094561994624767</v>
      </c>
      <c r="AG10" s="8">
        <f t="shared" si="14"/>
        <v>1.8582149193885331</v>
      </c>
      <c r="AH10" s="8">
        <f t="shared" si="15"/>
        <v>2.0574318227841863</v>
      </c>
      <c r="AI10" s="8">
        <f t="shared" si="16"/>
        <v>1.9952185761928829</v>
      </c>
      <c r="AJ10" s="8">
        <f t="shared" si="17"/>
        <v>1.8101296777028026</v>
      </c>
      <c r="AK10" s="8">
        <f t="shared" si="18"/>
        <v>1.4238815611309958</v>
      </c>
      <c r="AL10" s="8">
        <f t="shared" si="19"/>
        <v>0.74891458096555774</v>
      </c>
    </row>
    <row r="11" spans="1:38" x14ac:dyDescent="0.25">
      <c r="A11" s="4">
        <v>1999</v>
      </c>
      <c r="B11" s="5">
        <v>59684</v>
      </c>
      <c r="C11" s="4">
        <v>3782143</v>
      </c>
      <c r="D11" s="4">
        <f t="shared" si="1"/>
        <v>15.780471547479829</v>
      </c>
      <c r="E11" s="4">
        <f t="shared" si="2"/>
        <v>1.1981199765292108</v>
      </c>
      <c r="F11" s="4">
        <v>10</v>
      </c>
      <c r="G11" s="4">
        <v>0</v>
      </c>
      <c r="H11" s="4">
        <v>0</v>
      </c>
      <c r="I11" s="6">
        <v>165911</v>
      </c>
      <c r="J11" s="6">
        <v>171521</v>
      </c>
      <c r="K11" s="6">
        <v>158816</v>
      </c>
      <c r="L11" s="6">
        <v>144101</v>
      </c>
      <c r="M11" s="6">
        <v>138575</v>
      </c>
      <c r="N11" s="6">
        <v>130419</v>
      </c>
      <c r="O11" s="6">
        <f t="shared" si="3"/>
        <v>909343</v>
      </c>
      <c r="P11" s="7">
        <f>O11/C11*100</f>
        <v>24.043062359091131</v>
      </c>
      <c r="Q11" s="4">
        <f t="shared" si="5"/>
        <v>1.380989782837881</v>
      </c>
      <c r="R11" s="6">
        <v>11461</v>
      </c>
      <c r="S11" s="6">
        <v>19098</v>
      </c>
      <c r="T11" s="6">
        <v>15111</v>
      </c>
      <c r="U11" s="6">
        <v>9107</v>
      </c>
      <c r="V11" s="6">
        <v>3785</v>
      </c>
      <c r="W11" s="6">
        <v>720</v>
      </c>
      <c r="X11" s="6">
        <f t="shared" si="6"/>
        <v>402</v>
      </c>
      <c r="Y11" s="8">
        <f t="shared" si="7"/>
        <v>69.079205115995933</v>
      </c>
      <c r="Z11" s="8">
        <f t="shared" si="8"/>
        <v>111.34496650555909</v>
      </c>
      <c r="AA11" s="8">
        <f t="shared" si="9"/>
        <v>95.147844045939962</v>
      </c>
      <c r="AB11" s="8">
        <f t="shared" si="10"/>
        <v>63.198728669474889</v>
      </c>
      <c r="AC11" s="8">
        <f t="shared" si="11"/>
        <v>27.313729027602381</v>
      </c>
      <c r="AD11" s="8">
        <f t="shared" si="12"/>
        <v>5.5206680008280999</v>
      </c>
      <c r="AE11" s="8">
        <f t="shared" si="13"/>
        <v>1.8580257068270019</v>
      </c>
      <c r="AF11" s="8">
        <f t="shared" si="20"/>
        <v>0.26905171840675179</v>
      </c>
      <c r="AG11" s="8">
        <f t="shared" si="14"/>
        <v>1.8393473315630113</v>
      </c>
      <c r="AH11" s="8">
        <f t="shared" si="15"/>
        <v>2.0466705889652923</v>
      </c>
      <c r="AI11" s="8">
        <f t="shared" si="16"/>
        <v>1.9783989520601444</v>
      </c>
      <c r="AJ11" s="8">
        <f t="shared" si="17"/>
        <v>1.8007083419313543</v>
      </c>
      <c r="AK11" s="8">
        <f t="shared" si="18"/>
        <v>1.4363809965715928</v>
      </c>
      <c r="AL11" s="8">
        <f t="shared" si="19"/>
        <v>0.74199163054101847</v>
      </c>
    </row>
    <row r="12" spans="1:38" x14ac:dyDescent="0.25">
      <c r="A12" s="4">
        <v>2000</v>
      </c>
      <c r="B12" s="5">
        <v>59460</v>
      </c>
      <c r="C12" s="4">
        <v>3810605</v>
      </c>
      <c r="D12" s="4">
        <f t="shared" si="1"/>
        <v>15.603821440427438</v>
      </c>
      <c r="E12" s="4">
        <f t="shared" si="2"/>
        <v>1.1932309718960501</v>
      </c>
      <c r="F12" s="4">
        <v>11</v>
      </c>
      <c r="G12" s="4">
        <v>0</v>
      </c>
      <c r="H12" s="4">
        <v>0</v>
      </c>
      <c r="I12" s="9">
        <v>153443</v>
      </c>
      <c r="J12" s="9">
        <v>152095</v>
      </c>
      <c r="K12" s="9">
        <v>137938</v>
      </c>
      <c r="L12" s="9">
        <v>136041</v>
      </c>
      <c r="M12" s="9">
        <v>140488</v>
      </c>
      <c r="N12" s="9">
        <v>134780</v>
      </c>
      <c r="O12" s="6">
        <f t="shared" si="3"/>
        <v>854785</v>
      </c>
      <c r="P12" s="7">
        <f t="shared" si="4"/>
        <v>22.431739841836141</v>
      </c>
      <c r="Q12" s="4">
        <f t="shared" si="5"/>
        <v>1.3508629594681725</v>
      </c>
      <c r="R12" s="6">
        <v>11118</v>
      </c>
      <c r="S12" s="6">
        <v>19423</v>
      </c>
      <c r="T12" s="6">
        <v>15152</v>
      </c>
      <c r="U12" s="6">
        <v>8902</v>
      </c>
      <c r="V12" s="6">
        <v>3762</v>
      </c>
      <c r="W12" s="6">
        <v>748</v>
      </c>
      <c r="X12" s="6">
        <f t="shared" si="6"/>
        <v>355</v>
      </c>
      <c r="Y12" s="8">
        <f t="shared" si="7"/>
        <v>72.456873236315758</v>
      </c>
      <c r="Z12" s="8">
        <f t="shared" si="8"/>
        <v>127.70308031164731</v>
      </c>
      <c r="AA12" s="8">
        <f t="shared" si="9"/>
        <v>109.84645275413592</v>
      </c>
      <c r="AB12" s="8">
        <f t="shared" si="10"/>
        <v>65.436155276718054</v>
      </c>
      <c r="AC12" s="8">
        <f t="shared" si="11"/>
        <v>26.778087808211378</v>
      </c>
      <c r="AD12" s="8">
        <f t="shared" si="12"/>
        <v>5.5497848345451848</v>
      </c>
      <c r="AE12" s="8">
        <f t="shared" si="13"/>
        <v>2.0388521711078678</v>
      </c>
      <c r="AF12" s="8">
        <f t="shared" si="20"/>
        <v>0.30938573799022956</v>
      </c>
      <c r="AG12" s="8">
        <f t="shared" si="14"/>
        <v>1.8600795887999027</v>
      </c>
      <c r="AH12" s="8">
        <f t="shared" si="15"/>
        <v>2.1062013729581439</v>
      </c>
      <c r="AI12" s="8">
        <f t="shared" si="16"/>
        <v>2.0407860369126167</v>
      </c>
      <c r="AJ12" s="8">
        <f t="shared" si="17"/>
        <v>1.8158177742947159</v>
      </c>
      <c r="AK12" s="8">
        <f t="shared" si="18"/>
        <v>1.4277795613245219</v>
      </c>
      <c r="AL12" s="8">
        <f t="shared" si="19"/>
        <v>0.74427614582877788</v>
      </c>
    </row>
    <row r="13" spans="1:38" x14ac:dyDescent="0.25">
      <c r="A13" s="4">
        <v>2001</v>
      </c>
      <c r="B13" s="5">
        <v>55983</v>
      </c>
      <c r="C13" s="4">
        <v>3818774</v>
      </c>
      <c r="D13" s="4">
        <f t="shared" si="1"/>
        <v>14.659940598736663</v>
      </c>
      <c r="E13" s="4">
        <f t="shared" si="2"/>
        <v>1.1661322105716063</v>
      </c>
      <c r="F13" s="4">
        <v>12</v>
      </c>
      <c r="G13" s="4">
        <v>0</v>
      </c>
      <c r="H13" s="4">
        <v>0</v>
      </c>
      <c r="I13" s="9">
        <v>150684</v>
      </c>
      <c r="J13" s="9">
        <v>153178</v>
      </c>
      <c r="K13" s="9">
        <v>136155</v>
      </c>
      <c r="L13" s="9">
        <v>133828</v>
      </c>
      <c r="M13" s="9">
        <v>140452</v>
      </c>
      <c r="N13" s="9">
        <v>135437</v>
      </c>
      <c r="O13" s="6">
        <f t="shared" si="3"/>
        <v>849734</v>
      </c>
      <c r="P13" s="7">
        <f t="shared" si="4"/>
        <v>22.251486995564544</v>
      </c>
      <c r="Q13" s="4">
        <f t="shared" si="5"/>
        <v>1.3473590387951366</v>
      </c>
      <c r="R13" s="6">
        <v>10294</v>
      </c>
      <c r="S13" s="6">
        <v>18408</v>
      </c>
      <c r="T13" s="6">
        <v>14083</v>
      </c>
      <c r="U13" s="6">
        <v>8601</v>
      </c>
      <c r="V13" s="6">
        <v>3554</v>
      </c>
      <c r="W13" s="6">
        <v>706</v>
      </c>
      <c r="X13" s="6">
        <f t="shared" si="6"/>
        <v>337</v>
      </c>
      <c r="Y13" s="8">
        <f t="shared" si="7"/>
        <v>68.31514958456107</v>
      </c>
      <c r="Z13" s="8">
        <f t="shared" si="8"/>
        <v>120.17391531420961</v>
      </c>
      <c r="AA13" s="8">
        <f t="shared" si="9"/>
        <v>103.4335867210165</v>
      </c>
      <c r="AB13" s="8">
        <f t="shared" si="10"/>
        <v>64.269061780793251</v>
      </c>
      <c r="AC13" s="8">
        <f t="shared" si="11"/>
        <v>25.304018454703389</v>
      </c>
      <c r="AD13" s="8">
        <f t="shared" si="12"/>
        <v>5.212755746214107</v>
      </c>
      <c r="AE13" s="8">
        <f t="shared" si="13"/>
        <v>1.9335424380074897</v>
      </c>
      <c r="AF13" s="8">
        <f t="shared" si="20"/>
        <v>0.28635370854780368</v>
      </c>
      <c r="AG13" s="8">
        <f t="shared" si="14"/>
        <v>1.8345170236142043</v>
      </c>
      <c r="AH13" s="8">
        <f t="shared" si="15"/>
        <v>2.0798102108907255</v>
      </c>
      <c r="AI13" s="8">
        <f t="shared" si="16"/>
        <v>2.0146615847839793</v>
      </c>
      <c r="AJ13" s="8">
        <f t="shared" si="17"/>
        <v>1.808001959994445</v>
      </c>
      <c r="AK13" s="8">
        <f t="shared" si="18"/>
        <v>1.4031894956470328</v>
      </c>
      <c r="AL13" s="8">
        <f t="shared" si="19"/>
        <v>0.71706737569306445</v>
      </c>
    </row>
    <row r="14" spans="1:38" x14ac:dyDescent="0.25">
      <c r="A14" s="4">
        <v>2002</v>
      </c>
      <c r="B14" s="5">
        <v>52871</v>
      </c>
      <c r="C14" s="4">
        <v>3823701</v>
      </c>
      <c r="D14" s="4">
        <f t="shared" si="1"/>
        <v>13.827179478730162</v>
      </c>
      <c r="E14" s="4">
        <f t="shared" si="2"/>
        <v>1.1407336000840935</v>
      </c>
      <c r="F14" s="4">
        <v>13</v>
      </c>
      <c r="G14" s="4">
        <v>0</v>
      </c>
      <c r="H14" s="4">
        <v>0</v>
      </c>
      <c r="I14" s="9">
        <v>148106</v>
      </c>
      <c r="J14" s="9">
        <v>153016</v>
      </c>
      <c r="K14" s="9">
        <v>135987</v>
      </c>
      <c r="L14" s="9">
        <v>132423</v>
      </c>
      <c r="M14" s="9">
        <v>139265</v>
      </c>
      <c r="N14" s="9">
        <v>135501</v>
      </c>
      <c r="O14" s="6">
        <f t="shared" si="3"/>
        <v>844298</v>
      </c>
      <c r="P14" s="7">
        <f t="shared" si="4"/>
        <v>22.08064908840937</v>
      </c>
      <c r="Q14" s="4">
        <f t="shared" si="5"/>
        <v>1.3440118358765036</v>
      </c>
      <c r="R14" s="6">
        <v>9350</v>
      </c>
      <c r="S14" s="6">
        <v>17152</v>
      </c>
      <c r="T14" s="6">
        <v>13419</v>
      </c>
      <c r="U14" s="6">
        <v>8314</v>
      </c>
      <c r="V14" s="6">
        <v>3570</v>
      </c>
      <c r="W14" s="6">
        <v>758</v>
      </c>
      <c r="X14" s="6">
        <f t="shared" si="6"/>
        <v>308</v>
      </c>
      <c r="Y14" s="8">
        <f t="shared" si="7"/>
        <v>63.130460616045269</v>
      </c>
      <c r="Z14" s="8">
        <f t="shared" si="8"/>
        <v>112.09285303497674</v>
      </c>
      <c r="AA14" s="8">
        <f t="shared" si="9"/>
        <v>98.678550155529578</v>
      </c>
      <c r="AB14" s="8">
        <f t="shared" si="10"/>
        <v>62.783655407293288</v>
      </c>
      <c r="AC14" s="8">
        <f t="shared" si="11"/>
        <v>25.634581553154057</v>
      </c>
      <c r="AD14" s="8">
        <f t="shared" si="12"/>
        <v>5.5940546564232001</v>
      </c>
      <c r="AE14" s="8">
        <f t="shared" si="13"/>
        <v>1.839570777117111</v>
      </c>
      <c r="AF14" s="8">
        <f t="shared" si="20"/>
        <v>0.26471650188178425</v>
      </c>
      <c r="AG14" s="8">
        <f t="shared" si="14"/>
        <v>1.8002389580629305</v>
      </c>
      <c r="AH14" s="8">
        <f t="shared" si="15"/>
        <v>2.0495779231532181</v>
      </c>
      <c r="AI14" s="8">
        <f t="shared" si="16"/>
        <v>1.99422275994945</v>
      </c>
      <c r="AJ14" s="8">
        <f t="shared" si="17"/>
        <v>1.7978465977131965</v>
      </c>
      <c r="AK14" s="8">
        <f t="shared" si="18"/>
        <v>1.4088262326155292</v>
      </c>
      <c r="AL14" s="8">
        <f t="shared" si="19"/>
        <v>0.74772670530812835</v>
      </c>
    </row>
    <row r="15" spans="1:38" x14ac:dyDescent="0.25">
      <c r="A15" s="4">
        <v>2003</v>
      </c>
      <c r="B15" s="5">
        <v>50803</v>
      </c>
      <c r="C15" s="4">
        <v>3826095</v>
      </c>
      <c r="D15" s="4">
        <f t="shared" si="1"/>
        <v>13.278028904143781</v>
      </c>
      <c r="E15" s="4">
        <f t="shared" si="2"/>
        <v>1.123133609701509</v>
      </c>
      <c r="F15" s="4">
        <v>14</v>
      </c>
      <c r="G15" s="4">
        <v>0</v>
      </c>
      <c r="H15" s="4">
        <v>0</v>
      </c>
      <c r="I15" s="9">
        <v>146417</v>
      </c>
      <c r="J15" s="9">
        <v>151466</v>
      </c>
      <c r="K15" s="9">
        <v>137057</v>
      </c>
      <c r="L15" s="9">
        <v>131153</v>
      </c>
      <c r="M15" s="9">
        <v>136692</v>
      </c>
      <c r="N15" s="9">
        <v>136447</v>
      </c>
      <c r="O15" s="6">
        <f t="shared" si="3"/>
        <v>839232</v>
      </c>
      <c r="P15" s="7">
        <f t="shared" si="4"/>
        <v>21.934426615125865</v>
      </c>
      <c r="Q15" s="4">
        <f t="shared" si="5"/>
        <v>1.3411262860561413</v>
      </c>
      <c r="R15" s="6">
        <v>8817</v>
      </c>
      <c r="S15" s="6">
        <v>16767</v>
      </c>
      <c r="T15" s="6">
        <v>13056</v>
      </c>
      <c r="U15" s="6">
        <v>7904</v>
      </c>
      <c r="V15" s="6">
        <v>3376</v>
      </c>
      <c r="W15" s="6">
        <v>651</v>
      </c>
      <c r="X15" s="6">
        <f t="shared" si="6"/>
        <v>232</v>
      </c>
      <c r="Y15" s="8">
        <f t="shared" si="7"/>
        <v>60.218417260290813</v>
      </c>
      <c r="Z15" s="8">
        <f t="shared" si="8"/>
        <v>110.69811046703551</v>
      </c>
      <c r="AA15" s="8">
        <f t="shared" si="9"/>
        <v>95.25963650160152</v>
      </c>
      <c r="AB15" s="8">
        <f t="shared" si="10"/>
        <v>60.265491448918439</v>
      </c>
      <c r="AC15" s="8">
        <f t="shared" si="11"/>
        <v>24.69786088432388</v>
      </c>
      <c r="AD15" s="8">
        <f t="shared" si="12"/>
        <v>4.7710832777561976</v>
      </c>
      <c r="AE15" s="8">
        <f t="shared" si="13"/>
        <v>1.7795529991996317</v>
      </c>
      <c r="AF15" s="8">
        <f t="shared" si="20"/>
        <v>0.25031092682550021</v>
      </c>
      <c r="AG15" s="8">
        <f t="shared" si="14"/>
        <v>1.7797293366275018</v>
      </c>
      <c r="AH15" s="8">
        <f t="shared" si="15"/>
        <v>2.0441402078638768</v>
      </c>
      <c r="AI15" s="8">
        <f t="shared" si="16"/>
        <v>1.9789089199674064</v>
      </c>
      <c r="AJ15" s="8">
        <f t="shared" si="17"/>
        <v>1.7800687024668136</v>
      </c>
      <c r="AK15" s="8">
        <f t="shared" si="18"/>
        <v>1.392659340046533</v>
      </c>
      <c r="AL15" s="8">
        <f t="shared" si="19"/>
        <v>0.67861699709850642</v>
      </c>
    </row>
    <row r="16" spans="1:38" x14ac:dyDescent="0.25">
      <c r="A16" s="4">
        <v>2004</v>
      </c>
      <c r="B16" s="5">
        <v>51239</v>
      </c>
      <c r="C16" s="4">
        <v>3826878</v>
      </c>
      <c r="D16" s="4">
        <f t="shared" si="1"/>
        <v>13.38924313761766</v>
      </c>
      <c r="E16" s="4">
        <f t="shared" si="2"/>
        <v>1.1267560280615694</v>
      </c>
      <c r="F16" s="4">
        <v>15</v>
      </c>
      <c r="G16" s="4">
        <v>0</v>
      </c>
      <c r="H16" s="4">
        <v>0</v>
      </c>
      <c r="I16" s="9">
        <v>145877</v>
      </c>
      <c r="J16" s="9">
        <v>148818</v>
      </c>
      <c r="K16" s="9">
        <v>138041</v>
      </c>
      <c r="L16" s="9">
        <v>130158</v>
      </c>
      <c r="M16" s="9">
        <v>133902</v>
      </c>
      <c r="N16" s="9">
        <v>137364</v>
      </c>
      <c r="O16" s="6">
        <f t="shared" si="3"/>
        <v>834160</v>
      </c>
      <c r="P16" s="7">
        <f t="shared" si="4"/>
        <v>21.797402477946775</v>
      </c>
      <c r="Q16" s="4">
        <f t="shared" si="5"/>
        <v>1.3384047432969464</v>
      </c>
      <c r="R16" s="6">
        <v>9083</v>
      </c>
      <c r="S16" s="6">
        <v>16648</v>
      </c>
      <c r="T16" s="6">
        <v>13423</v>
      </c>
      <c r="U16" s="6">
        <v>7872</v>
      </c>
      <c r="V16" s="6">
        <v>3251</v>
      </c>
      <c r="W16" s="6">
        <v>694</v>
      </c>
      <c r="X16" s="6">
        <f t="shared" si="6"/>
        <v>268</v>
      </c>
      <c r="Y16" s="8">
        <f t="shared" si="7"/>
        <v>62.264784715890791</v>
      </c>
      <c r="Z16" s="8">
        <f t="shared" si="8"/>
        <v>111.86818798801221</v>
      </c>
      <c r="AA16" s="8">
        <f t="shared" si="9"/>
        <v>97.239226027049924</v>
      </c>
      <c r="AB16" s="8">
        <f t="shared" si="10"/>
        <v>60.480339279952055</v>
      </c>
      <c r="AC16" s="8">
        <f t="shared" si="11"/>
        <v>24.278950277068304</v>
      </c>
      <c r="AD16" s="8">
        <f t="shared" si="12"/>
        <v>5.0522698814827756</v>
      </c>
      <c r="AE16" s="8">
        <f t="shared" si="13"/>
        <v>1.8059187908472802</v>
      </c>
      <c r="AF16" s="8">
        <f t="shared" si="20"/>
        <v>0.25669821691885947</v>
      </c>
      <c r="AG16" s="8">
        <f t="shared" si="14"/>
        <v>1.7942424908384036</v>
      </c>
      <c r="AH16" s="8">
        <f t="shared" si="15"/>
        <v>2.0487066035482013</v>
      </c>
      <c r="AI16" s="8">
        <f t="shared" si="16"/>
        <v>1.987841493430049</v>
      </c>
      <c r="AJ16" s="8">
        <f t="shared" si="17"/>
        <v>1.7816142187861017</v>
      </c>
      <c r="AK16" s="8">
        <f t="shared" si="18"/>
        <v>1.3852299056844386</v>
      </c>
      <c r="AL16" s="8">
        <f t="shared" si="19"/>
        <v>0.70348654158800017</v>
      </c>
    </row>
    <row r="17" spans="1:38" x14ac:dyDescent="0.25">
      <c r="A17" s="4">
        <v>2005</v>
      </c>
      <c r="B17" s="5">
        <v>50687</v>
      </c>
      <c r="C17" s="4">
        <v>3821362</v>
      </c>
      <c r="D17" s="4">
        <f t="shared" si="1"/>
        <v>13.264118918856679</v>
      </c>
      <c r="E17" s="4">
        <f t="shared" si="2"/>
        <v>1.1226784068711362</v>
      </c>
      <c r="F17" s="4">
        <v>16</v>
      </c>
      <c r="G17" s="4">
        <v>1</v>
      </c>
      <c r="H17" s="4">
        <v>0</v>
      </c>
      <c r="I17" s="9">
        <v>146684</v>
      </c>
      <c r="J17" s="9">
        <v>144548</v>
      </c>
      <c r="K17" s="9">
        <v>138773</v>
      </c>
      <c r="L17" s="9">
        <v>128745</v>
      </c>
      <c r="M17" s="9">
        <v>131661</v>
      </c>
      <c r="N17" s="9">
        <v>137350</v>
      </c>
      <c r="O17" s="6">
        <f t="shared" si="3"/>
        <v>827761</v>
      </c>
      <c r="P17" s="7">
        <f t="shared" si="4"/>
        <v>21.66141286797744</v>
      </c>
      <c r="Q17" s="4">
        <f t="shared" si="5"/>
        <v>1.3356867801173133</v>
      </c>
      <c r="R17" s="6">
        <v>8934</v>
      </c>
      <c r="S17" s="6">
        <v>16045</v>
      </c>
      <c r="T17" s="6">
        <v>13445</v>
      </c>
      <c r="U17" s="6">
        <v>7965</v>
      </c>
      <c r="V17" s="6">
        <v>3299</v>
      </c>
      <c r="W17" s="6">
        <v>742</v>
      </c>
      <c r="X17" s="6">
        <f t="shared" si="6"/>
        <v>257</v>
      </c>
      <c r="Y17" s="8">
        <f t="shared" si="7"/>
        <v>60.90643833001554</v>
      </c>
      <c r="Z17" s="8">
        <f t="shared" si="8"/>
        <v>111.00118991615241</v>
      </c>
      <c r="AA17" s="8">
        <f t="shared" si="9"/>
        <v>96.884840711089325</v>
      </c>
      <c r="AB17" s="8">
        <f t="shared" si="10"/>
        <v>61.866480251660256</v>
      </c>
      <c r="AC17" s="8">
        <f t="shared" si="11"/>
        <v>25.056774595362334</v>
      </c>
      <c r="AD17" s="8">
        <f t="shared" si="12"/>
        <v>5.4022570076447032</v>
      </c>
      <c r="AE17" s="8">
        <f t="shared" si="13"/>
        <v>1.8055899040596231</v>
      </c>
      <c r="AF17" s="8">
        <f t="shared" si="20"/>
        <v>0.25661911772264451</v>
      </c>
      <c r="AG17" s="8">
        <f t="shared" si="14"/>
        <v>1.7846632036904411</v>
      </c>
      <c r="AH17" s="8">
        <f t="shared" si="15"/>
        <v>2.0453276343834959</v>
      </c>
      <c r="AI17" s="8">
        <f t="shared" si="16"/>
        <v>1.9862558295734214</v>
      </c>
      <c r="AJ17" s="8">
        <f t="shared" si="17"/>
        <v>1.7914554085565439</v>
      </c>
      <c r="AK17" s="8">
        <f t="shared" si="18"/>
        <v>1.3989251661956899</v>
      </c>
      <c r="AL17" s="8">
        <f t="shared" si="19"/>
        <v>0.73257524152244635</v>
      </c>
    </row>
    <row r="18" spans="1:38" x14ac:dyDescent="0.25">
      <c r="A18" s="4">
        <v>2006</v>
      </c>
      <c r="B18" s="5">
        <v>48744</v>
      </c>
      <c r="C18" s="4">
        <v>3805214</v>
      </c>
      <c r="D18" s="4">
        <f t="shared" si="1"/>
        <v>12.809792037977365</v>
      </c>
      <c r="E18" s="4">
        <f t="shared" si="2"/>
        <v>1.1075420791988626</v>
      </c>
      <c r="F18" s="4">
        <v>17</v>
      </c>
      <c r="G18" s="4">
        <v>1</v>
      </c>
      <c r="H18" s="4">
        <v>1</v>
      </c>
      <c r="I18" s="9">
        <v>145798</v>
      </c>
      <c r="J18" s="9">
        <v>140188</v>
      </c>
      <c r="K18" s="9">
        <v>138193</v>
      </c>
      <c r="L18" s="9">
        <v>126837</v>
      </c>
      <c r="M18" s="9">
        <v>129689</v>
      </c>
      <c r="N18" s="9">
        <v>137036</v>
      </c>
      <c r="O18" s="6">
        <f t="shared" si="3"/>
        <v>817741</v>
      </c>
      <c r="P18" s="7">
        <f t="shared" si="4"/>
        <v>21.49001343945439</v>
      </c>
      <c r="Q18" s="4">
        <f t="shared" si="5"/>
        <v>1.3322366870912132</v>
      </c>
      <c r="R18" s="6">
        <v>8728</v>
      </c>
      <c r="S18" s="6">
        <v>15416</v>
      </c>
      <c r="T18" s="6">
        <v>12702</v>
      </c>
      <c r="U18" s="6">
        <v>7728</v>
      </c>
      <c r="V18" s="6">
        <v>3239</v>
      </c>
      <c r="W18" s="6">
        <v>716</v>
      </c>
      <c r="X18" s="6">
        <f t="shared" si="6"/>
        <v>215</v>
      </c>
      <c r="Y18" s="8">
        <f t="shared" si="7"/>
        <v>59.863646963607181</v>
      </c>
      <c r="Z18" s="8">
        <f t="shared" si="8"/>
        <v>109.9666162581676</v>
      </c>
      <c r="AA18" s="8">
        <f t="shared" si="9"/>
        <v>91.914930568118507</v>
      </c>
      <c r="AB18" s="8">
        <f t="shared" si="10"/>
        <v>60.928593391518241</v>
      </c>
      <c r="AC18" s="8">
        <f t="shared" si="11"/>
        <v>24.975132817740903</v>
      </c>
      <c r="AD18" s="8">
        <f t="shared" si="12"/>
        <v>5.2249044046819817</v>
      </c>
      <c r="AE18" s="8">
        <f t="shared" si="13"/>
        <v>1.7643691220191722</v>
      </c>
      <c r="AF18" s="8">
        <f t="shared" si="20"/>
        <v>0.24658944864500631</v>
      </c>
      <c r="AG18" s="8">
        <f t="shared" si="14"/>
        <v>1.7771631710394906</v>
      </c>
      <c r="AH18" s="8">
        <f t="shared" si="15"/>
        <v>2.041260861745918</v>
      </c>
      <c r="AI18" s="8">
        <f t="shared" si="16"/>
        <v>1.9633860634717308</v>
      </c>
      <c r="AJ18" s="8">
        <f t="shared" si="17"/>
        <v>1.7848211520395645</v>
      </c>
      <c r="AK18" s="8">
        <f t="shared" si="18"/>
        <v>1.3975078064819477</v>
      </c>
      <c r="AL18" s="8">
        <f t="shared" si="19"/>
        <v>0.71807834896511957</v>
      </c>
    </row>
    <row r="19" spans="1:38" x14ac:dyDescent="0.25">
      <c r="A19" s="4">
        <v>2007</v>
      </c>
      <c r="B19" s="5">
        <v>46748</v>
      </c>
      <c r="C19" s="4">
        <v>3782995</v>
      </c>
      <c r="D19" s="4">
        <f t="shared" si="1"/>
        <v>12.357404648962</v>
      </c>
      <c r="E19" s="4">
        <f t="shared" si="2"/>
        <v>1.0919272680837016</v>
      </c>
      <c r="F19" s="4">
        <v>18</v>
      </c>
      <c r="G19" s="4">
        <v>1</v>
      </c>
      <c r="H19" s="4">
        <v>1</v>
      </c>
      <c r="I19" s="9">
        <v>144224</v>
      </c>
      <c r="J19" s="9">
        <v>135878</v>
      </c>
      <c r="K19" s="9">
        <v>136302</v>
      </c>
      <c r="L19" s="9">
        <v>126329</v>
      </c>
      <c r="M19" s="9">
        <v>128330</v>
      </c>
      <c r="N19" s="9">
        <v>135417</v>
      </c>
      <c r="O19" s="6">
        <f t="shared" si="3"/>
        <v>806480</v>
      </c>
      <c r="P19" s="7">
        <f t="shared" si="4"/>
        <v>21.318558443772726</v>
      </c>
      <c r="Q19" s="4">
        <f t="shared" si="5"/>
        <v>1.3287578344501538</v>
      </c>
      <c r="R19" s="6">
        <v>8314</v>
      </c>
      <c r="S19" s="6">
        <v>14683</v>
      </c>
      <c r="T19" s="6">
        <v>12310</v>
      </c>
      <c r="U19" s="6">
        <v>7372</v>
      </c>
      <c r="V19" s="6">
        <v>3179</v>
      </c>
      <c r="W19" s="6">
        <v>672</v>
      </c>
      <c r="X19" s="6">
        <f t="shared" si="6"/>
        <v>218</v>
      </c>
      <c r="Y19" s="8">
        <f t="shared" si="7"/>
        <v>57.646438872864437</v>
      </c>
      <c r="Z19" s="8">
        <f t="shared" si="8"/>
        <v>108.06017162454555</v>
      </c>
      <c r="AA19" s="8">
        <f t="shared" si="9"/>
        <v>90.314155331543191</v>
      </c>
      <c r="AB19" s="8">
        <f t="shared" si="10"/>
        <v>58.355563647301885</v>
      </c>
      <c r="AC19" s="8">
        <f t="shared" si="11"/>
        <v>24.772072001870178</v>
      </c>
      <c r="AD19" s="8">
        <f t="shared" si="12"/>
        <v>4.9624493232016658</v>
      </c>
      <c r="AE19" s="8">
        <f t="shared" si="13"/>
        <v>1.7205542540066348</v>
      </c>
      <c r="AF19" s="8">
        <f t="shared" si="20"/>
        <v>0.23566837172254415</v>
      </c>
      <c r="AG19" s="8">
        <f t="shared" si="14"/>
        <v>1.7607724837793124</v>
      </c>
      <c r="AH19" s="8">
        <f t="shared" si="15"/>
        <v>2.0336656529638089</v>
      </c>
      <c r="AI19" s="8">
        <f t="shared" si="16"/>
        <v>1.9557558245171032</v>
      </c>
      <c r="AJ19" s="8">
        <f t="shared" si="17"/>
        <v>1.7660822681986135</v>
      </c>
      <c r="AK19" s="8">
        <f t="shared" si="18"/>
        <v>1.3939623336485889</v>
      </c>
      <c r="AL19" s="8">
        <f t="shared" si="19"/>
        <v>0.69569608475530176</v>
      </c>
    </row>
    <row r="20" spans="1:38" x14ac:dyDescent="0.25">
      <c r="A20" s="4">
        <v>2008</v>
      </c>
      <c r="B20" s="5">
        <v>45683</v>
      </c>
      <c r="C20" s="4">
        <v>3760866</v>
      </c>
      <c r="D20" s="4">
        <f t="shared" si="1"/>
        <v>12.146936370506154</v>
      </c>
      <c r="E20" s="4">
        <f t="shared" si="2"/>
        <v>1.0844667565222044</v>
      </c>
      <c r="F20" s="4">
        <v>19</v>
      </c>
      <c r="G20" s="4">
        <v>1</v>
      </c>
      <c r="H20" s="4">
        <v>1</v>
      </c>
      <c r="I20" s="9">
        <v>143143</v>
      </c>
      <c r="J20" s="9">
        <v>132582</v>
      </c>
      <c r="K20" s="9">
        <v>133184</v>
      </c>
      <c r="L20" s="9">
        <v>126989</v>
      </c>
      <c r="M20" s="9">
        <v>127024</v>
      </c>
      <c r="N20" s="9">
        <v>132379</v>
      </c>
      <c r="O20" s="6">
        <f t="shared" si="3"/>
        <v>795301</v>
      </c>
      <c r="P20" s="7">
        <f t="shared" si="4"/>
        <v>21.146751838539316</v>
      </c>
      <c r="Q20" s="4">
        <f t="shared" si="5"/>
        <v>1.3252436687828144</v>
      </c>
      <c r="R20" s="6">
        <v>7991</v>
      </c>
      <c r="S20" s="6">
        <v>14588</v>
      </c>
      <c r="T20" s="6">
        <v>11829</v>
      </c>
      <c r="U20" s="6">
        <v>7299</v>
      </c>
      <c r="V20" s="6">
        <v>3123</v>
      </c>
      <c r="W20" s="6">
        <v>658</v>
      </c>
      <c r="X20" s="6">
        <f t="shared" si="6"/>
        <v>195</v>
      </c>
      <c r="Y20" s="8">
        <f t="shared" si="7"/>
        <v>55.825293587531348</v>
      </c>
      <c r="Z20" s="8">
        <f t="shared" si="8"/>
        <v>110.03001915795507</v>
      </c>
      <c r="AA20" s="8">
        <f t="shared" si="9"/>
        <v>88.816975012013458</v>
      </c>
      <c r="AB20" s="8">
        <f t="shared" si="10"/>
        <v>57.477419304034207</v>
      </c>
      <c r="AC20" s="8">
        <f t="shared" si="11"/>
        <v>24.585905025821891</v>
      </c>
      <c r="AD20" s="8">
        <f t="shared" si="12"/>
        <v>4.9705769041917529</v>
      </c>
      <c r="AE20" s="8">
        <f t="shared" si="13"/>
        <v>1.7085309449577384</v>
      </c>
      <c r="AF20" s="8">
        <f t="shared" si="20"/>
        <v>0.23262284915917844</v>
      </c>
      <c r="AG20" s="8">
        <f t="shared" si="14"/>
        <v>1.7468310157221509</v>
      </c>
      <c r="AH20" s="8">
        <f t="shared" si="15"/>
        <v>2.0415111885768225</v>
      </c>
      <c r="AI20" s="8">
        <f t="shared" si="16"/>
        <v>1.9484959775973716</v>
      </c>
      <c r="AJ20" s="8">
        <f t="shared" si="17"/>
        <v>1.7594972603811476</v>
      </c>
      <c r="AK20" s="8">
        <f t="shared" si="18"/>
        <v>1.3906861996298876</v>
      </c>
      <c r="AL20" s="8">
        <f t="shared" si="19"/>
        <v>0.6964067975395335</v>
      </c>
    </row>
    <row r="21" spans="1:38" x14ac:dyDescent="0.25">
      <c r="A21" s="4">
        <v>2009</v>
      </c>
      <c r="B21" s="5">
        <v>44836</v>
      </c>
      <c r="C21" s="4">
        <v>3740410</v>
      </c>
      <c r="D21" s="4">
        <f t="shared" si="1"/>
        <v>11.986921219866272</v>
      </c>
      <c r="E21" s="4">
        <f t="shared" si="2"/>
        <v>1.0787076510786899</v>
      </c>
      <c r="F21" s="4">
        <v>20</v>
      </c>
      <c r="G21" s="4">
        <v>1</v>
      </c>
      <c r="H21" s="4">
        <v>1</v>
      </c>
      <c r="I21" s="9">
        <v>141571</v>
      </c>
      <c r="J21" s="9">
        <v>130543</v>
      </c>
      <c r="K21" s="9">
        <v>129304</v>
      </c>
      <c r="L21" s="9">
        <v>127751</v>
      </c>
      <c r="M21" s="9">
        <v>126064</v>
      </c>
      <c r="N21" s="9">
        <v>129131</v>
      </c>
      <c r="O21" s="6">
        <f t="shared" si="3"/>
        <v>784364</v>
      </c>
      <c r="P21" s="7">
        <f t="shared" si="4"/>
        <v>20.970000614905853</v>
      </c>
      <c r="Q21" s="4">
        <f t="shared" si="5"/>
        <v>1.3215984432002135</v>
      </c>
      <c r="R21" s="6">
        <v>7957</v>
      </c>
      <c r="S21" s="6">
        <v>14627</v>
      </c>
      <c r="T21" s="6">
        <v>11254</v>
      </c>
      <c r="U21" s="6">
        <v>7070</v>
      </c>
      <c r="V21" s="6">
        <v>3095</v>
      </c>
      <c r="W21" s="6">
        <v>647</v>
      </c>
      <c r="X21" s="6">
        <f t="shared" si="6"/>
        <v>186</v>
      </c>
      <c r="Y21" s="8">
        <f t="shared" si="7"/>
        <v>56.205013738689424</v>
      </c>
      <c r="Z21" s="8">
        <f t="shared" si="8"/>
        <v>112.04737136422482</v>
      </c>
      <c r="AA21" s="8">
        <f t="shared" si="9"/>
        <v>87.035203860669426</v>
      </c>
      <c r="AB21" s="8">
        <f t="shared" si="10"/>
        <v>55.34203254769043</v>
      </c>
      <c r="AC21" s="8">
        <f t="shared" si="11"/>
        <v>24.551021703261839</v>
      </c>
      <c r="AD21" s="8">
        <f t="shared" si="12"/>
        <v>5.0104157793248723</v>
      </c>
      <c r="AE21" s="8">
        <f t="shared" si="13"/>
        <v>1.7009552949693043</v>
      </c>
      <c r="AF21" s="8">
        <f t="shared" si="20"/>
        <v>0.23069289950129349</v>
      </c>
      <c r="AG21" s="8">
        <f t="shared" si="14"/>
        <v>1.7497750583079397</v>
      </c>
      <c r="AH21" s="8">
        <f t="shared" si="15"/>
        <v>2.0494016724248239</v>
      </c>
      <c r="AI21" s="8">
        <f t="shared" si="16"/>
        <v>1.9396949508945971</v>
      </c>
      <c r="AJ21" s="8">
        <f t="shared" si="17"/>
        <v>1.7430551054380385</v>
      </c>
      <c r="AK21" s="8">
        <f t="shared" si="18"/>
        <v>1.3900695702209349</v>
      </c>
      <c r="AL21" s="8">
        <f t="shared" si="19"/>
        <v>0.69987376642096355</v>
      </c>
    </row>
    <row r="22" spans="1:38" x14ac:dyDescent="0.25">
      <c r="A22" s="4">
        <v>2010</v>
      </c>
      <c r="B22" s="5">
        <v>42248</v>
      </c>
      <c r="C22" s="10">
        <v>3721525</v>
      </c>
      <c r="D22" s="4">
        <f t="shared" si="1"/>
        <v>11.352335400138385</v>
      </c>
      <c r="E22" s="4">
        <f t="shared" si="2"/>
        <v>1.0550852136930347</v>
      </c>
      <c r="F22" s="4">
        <v>21</v>
      </c>
      <c r="G22" s="4">
        <v>1</v>
      </c>
      <c r="H22" s="4">
        <v>1</v>
      </c>
      <c r="I22" s="6">
        <v>138682</v>
      </c>
      <c r="J22" s="6">
        <v>130897</v>
      </c>
      <c r="K22" s="6">
        <v>124700</v>
      </c>
      <c r="L22" s="6">
        <v>128372</v>
      </c>
      <c r="M22" s="6">
        <v>124848</v>
      </c>
      <c r="N22" s="6">
        <v>126901</v>
      </c>
      <c r="O22" s="6">
        <f t="shared" si="3"/>
        <v>774400</v>
      </c>
      <c r="P22" s="7">
        <f t="shared" si="4"/>
        <v>20.808673863537123</v>
      </c>
      <c r="Q22" s="4">
        <f t="shared" si="5"/>
        <v>1.3182444035129335</v>
      </c>
      <c r="R22" s="6">
        <v>7112</v>
      </c>
      <c r="S22" s="6">
        <v>13788</v>
      </c>
      <c r="T22" s="6">
        <v>10621</v>
      </c>
      <c r="U22" s="6">
        <v>7045</v>
      </c>
      <c r="V22" s="6">
        <v>2917</v>
      </c>
      <c r="W22" s="6">
        <v>575</v>
      </c>
      <c r="X22" s="6">
        <f t="shared" si="6"/>
        <v>190</v>
      </c>
      <c r="Y22" s="8">
        <f t="shared" si="7"/>
        <v>51.282790845243071</v>
      </c>
      <c r="Z22" s="8">
        <f t="shared" si="8"/>
        <v>105.33472883259357</v>
      </c>
      <c r="AA22" s="8">
        <f t="shared" si="9"/>
        <v>85.172413793103445</v>
      </c>
      <c r="AB22" s="8">
        <f t="shared" si="10"/>
        <v>54.879568753310686</v>
      </c>
      <c r="AC22" s="8">
        <f t="shared" si="11"/>
        <v>23.364411123926693</v>
      </c>
      <c r="AD22" s="8">
        <f t="shared" si="12"/>
        <v>4.5310911655542512</v>
      </c>
      <c r="AE22" s="8">
        <f t="shared" si="13"/>
        <v>1.6228250225686587</v>
      </c>
      <c r="AF22" s="8">
        <f t="shared" si="20"/>
        <v>0.21027169553198657</v>
      </c>
      <c r="AG22" s="8">
        <f t="shared" si="14"/>
        <v>1.7099716517624779</v>
      </c>
      <c r="AH22" s="8">
        <f t="shared" si="15"/>
        <v>2.0225715815722882</v>
      </c>
      <c r="AI22" s="8">
        <f t="shared" si="16"/>
        <v>1.9302989553607097</v>
      </c>
      <c r="AJ22" s="8">
        <f t="shared" si="17"/>
        <v>1.7394106900020232</v>
      </c>
      <c r="AK22" s="8">
        <f t="shared" si="18"/>
        <v>1.3685548395502727</v>
      </c>
      <c r="AL22" s="8">
        <f t="shared" si="19"/>
        <v>0.65620280027206723</v>
      </c>
    </row>
    <row r="23" spans="1:38" x14ac:dyDescent="0.25">
      <c r="A23" s="4">
        <v>2011</v>
      </c>
      <c r="B23" s="5">
        <v>41133</v>
      </c>
      <c r="C23" s="10">
        <v>3678732</v>
      </c>
      <c r="D23" s="4">
        <f t="shared" si="1"/>
        <v>11.181298338666693</v>
      </c>
      <c r="E23" s="4">
        <f t="shared" si="2"/>
        <v>1.0484922354448929</v>
      </c>
      <c r="F23" s="4">
        <v>22</v>
      </c>
      <c r="G23" s="4">
        <v>1</v>
      </c>
      <c r="H23" s="4">
        <v>1</v>
      </c>
      <c r="I23" s="6">
        <v>134268</v>
      </c>
      <c r="J23" s="6">
        <v>131188</v>
      </c>
      <c r="K23" s="6">
        <v>119589</v>
      </c>
      <c r="L23" s="6">
        <v>126267</v>
      </c>
      <c r="M23" s="6">
        <v>121968</v>
      </c>
      <c r="N23" s="6">
        <v>124337</v>
      </c>
      <c r="O23" s="6">
        <f t="shared" si="3"/>
        <v>757617</v>
      </c>
      <c r="P23" s="7">
        <f t="shared" si="4"/>
        <v>20.594514631672002</v>
      </c>
      <c r="Q23" s="4">
        <f t="shared" si="5"/>
        <v>1.3137515610280281</v>
      </c>
      <c r="R23" s="6">
        <v>6976</v>
      </c>
      <c r="S23" s="6">
        <v>13606</v>
      </c>
      <c r="T23" s="6">
        <v>10001</v>
      </c>
      <c r="U23" s="6">
        <v>6958</v>
      </c>
      <c r="V23" s="6">
        <v>2835</v>
      </c>
      <c r="W23" s="6">
        <v>611</v>
      </c>
      <c r="X23" s="6">
        <f t="shared" si="6"/>
        <v>146</v>
      </c>
      <c r="Y23" s="8">
        <f t="shared" si="7"/>
        <v>51.955789912711886</v>
      </c>
      <c r="Z23" s="8">
        <f t="shared" si="8"/>
        <v>103.71375430679636</v>
      </c>
      <c r="AA23" s="8">
        <f t="shared" si="9"/>
        <v>83.628092884797098</v>
      </c>
      <c r="AB23" s="8">
        <f t="shared" si="10"/>
        <v>55.105451147172261</v>
      </c>
      <c r="AC23" s="8">
        <f t="shared" si="11"/>
        <v>23.243801652892561</v>
      </c>
      <c r="AD23" s="8">
        <f t="shared" si="12"/>
        <v>4.9140641964982263</v>
      </c>
      <c r="AE23" s="8">
        <f t="shared" si="13"/>
        <v>1.6128047705043418</v>
      </c>
      <c r="AF23" s="8">
        <f t="shared" si="20"/>
        <v>0.207581799364047</v>
      </c>
      <c r="AG23" s="8">
        <f t="shared" si="14"/>
        <v>1.7156339520284762</v>
      </c>
      <c r="AH23" s="8">
        <f t="shared" si="15"/>
        <v>2.0158363554578469</v>
      </c>
      <c r="AI23" s="8">
        <f t="shared" si="16"/>
        <v>1.9223521929338645</v>
      </c>
      <c r="AJ23" s="8">
        <f t="shared" si="17"/>
        <v>1.7411945623007659</v>
      </c>
      <c r="AK23" s="8">
        <f t="shared" si="18"/>
        <v>1.3663071608029689</v>
      </c>
      <c r="AL23" s="8">
        <f t="shared" si="19"/>
        <v>0.69144082573031063</v>
      </c>
    </row>
    <row r="24" spans="1:38" x14ac:dyDescent="0.25">
      <c r="A24" s="4">
        <v>2012</v>
      </c>
      <c r="B24" s="5">
        <v>38974</v>
      </c>
      <c r="C24" s="10">
        <v>3634488</v>
      </c>
      <c r="D24" s="4">
        <f t="shared" si="1"/>
        <v>10.723381119981687</v>
      </c>
      <c r="E24" s="4">
        <f t="shared" si="2"/>
        <v>1.0303317415349447</v>
      </c>
      <c r="F24" s="4">
        <v>23</v>
      </c>
      <c r="G24" s="4">
        <v>1</v>
      </c>
      <c r="H24" s="4">
        <v>1</v>
      </c>
      <c r="I24" s="6">
        <v>130895</v>
      </c>
      <c r="J24" s="6">
        <v>130792</v>
      </c>
      <c r="K24" s="6">
        <v>116166</v>
      </c>
      <c r="L24" s="6">
        <v>123796</v>
      </c>
      <c r="M24" s="6">
        <v>120311</v>
      </c>
      <c r="N24" s="6">
        <v>122137</v>
      </c>
      <c r="O24" s="6">
        <f t="shared" si="3"/>
        <v>744097</v>
      </c>
      <c r="P24" s="7">
        <f t="shared" si="4"/>
        <v>20.473227590791328</v>
      </c>
      <c r="Q24" s="4">
        <f t="shared" si="5"/>
        <v>1.3111863142977871</v>
      </c>
      <c r="R24" s="6">
        <v>6450</v>
      </c>
      <c r="S24" s="6">
        <v>13161</v>
      </c>
      <c r="T24" s="6">
        <v>9399</v>
      </c>
      <c r="U24" s="6">
        <v>6484</v>
      </c>
      <c r="V24" s="6">
        <v>2748</v>
      </c>
      <c r="W24" s="6">
        <v>600</v>
      </c>
      <c r="X24" s="6">
        <f t="shared" si="6"/>
        <v>132</v>
      </c>
      <c r="Y24" s="8">
        <f t="shared" si="7"/>
        <v>49.276137362007717</v>
      </c>
      <c r="Z24" s="8">
        <f t="shared" si="8"/>
        <v>100.6254205150162</v>
      </c>
      <c r="AA24" s="8">
        <f t="shared" si="9"/>
        <v>80.910076958834779</v>
      </c>
      <c r="AB24" s="8">
        <f t="shared" si="10"/>
        <v>52.37649035510033</v>
      </c>
      <c r="AC24" s="8">
        <f t="shared" si="11"/>
        <v>22.840804248988039</v>
      </c>
      <c r="AD24" s="8">
        <f t="shared" si="12"/>
        <v>4.9125162727101532</v>
      </c>
      <c r="AE24" s="8">
        <f t="shared" si="13"/>
        <v>1.5547072285632859</v>
      </c>
      <c r="AF24" s="8">
        <f t="shared" si="20"/>
        <v>0.19164861780621767</v>
      </c>
      <c r="AG24" s="8">
        <f t="shared" si="14"/>
        <v>1.6926366571898026</v>
      </c>
      <c r="AH24" s="8">
        <f t="shared" si="15"/>
        <v>2.0027077083023297</v>
      </c>
      <c r="AI24" s="8">
        <f t="shared" si="16"/>
        <v>1.9080026142584687</v>
      </c>
      <c r="AJ24" s="8">
        <f t="shared" si="17"/>
        <v>1.7191363938509605</v>
      </c>
      <c r="AK24" s="8">
        <f t="shared" si="18"/>
        <v>1.3587113918132252</v>
      </c>
      <c r="AL24" s="8">
        <f t="shared" si="19"/>
        <v>0.69130400198633712</v>
      </c>
    </row>
    <row r="25" spans="1:38" x14ac:dyDescent="0.25">
      <c r="A25" s="4">
        <v>2013</v>
      </c>
      <c r="B25" s="5">
        <v>36560</v>
      </c>
      <c r="C25" s="10">
        <v>3593077</v>
      </c>
      <c r="D25" s="4">
        <f t="shared" si="1"/>
        <v>10.175122882142521</v>
      </c>
      <c r="E25" s="4">
        <f t="shared" si="2"/>
        <v>1.0075396627831712</v>
      </c>
      <c r="F25" s="4">
        <v>24</v>
      </c>
      <c r="G25" s="4">
        <v>1</v>
      </c>
      <c r="H25" s="4">
        <v>1</v>
      </c>
      <c r="I25" s="6">
        <v>127075</v>
      </c>
      <c r="J25" s="6">
        <v>129937</v>
      </c>
      <c r="K25" s="6">
        <v>114137</v>
      </c>
      <c r="L25" s="6">
        <v>119756</v>
      </c>
      <c r="M25" s="6">
        <v>119382</v>
      </c>
      <c r="N25" s="6">
        <v>119871</v>
      </c>
      <c r="O25" s="6">
        <f t="shared" si="3"/>
        <v>730158</v>
      </c>
      <c r="P25" s="7">
        <f t="shared" si="4"/>
        <v>20.321245550818979</v>
      </c>
      <c r="Q25" s="4">
        <f t="shared" si="5"/>
        <v>1.3079503236546708</v>
      </c>
      <c r="R25" s="6">
        <v>5706</v>
      </c>
      <c r="S25" s="6">
        <v>12348</v>
      </c>
      <c r="T25" s="6">
        <v>8977</v>
      </c>
      <c r="U25" s="6">
        <v>6048</v>
      </c>
      <c r="V25" s="6">
        <v>2818</v>
      </c>
      <c r="W25" s="6">
        <v>573</v>
      </c>
      <c r="X25" s="6">
        <f t="shared" si="6"/>
        <v>90</v>
      </c>
      <c r="Y25" s="8">
        <f t="shared" si="7"/>
        <v>44.902616565020658</v>
      </c>
      <c r="Z25" s="8">
        <f t="shared" si="8"/>
        <v>95.030668708681901</v>
      </c>
      <c r="AA25" s="8">
        <f t="shared" si="9"/>
        <v>78.651094737026554</v>
      </c>
      <c r="AB25" s="8">
        <f t="shared" si="10"/>
        <v>50.502688800561145</v>
      </c>
      <c r="AC25" s="8">
        <f t="shared" si="11"/>
        <v>23.604898560922081</v>
      </c>
      <c r="AD25" s="8">
        <f t="shared" si="12"/>
        <v>4.7801386490477258</v>
      </c>
      <c r="AE25" s="8">
        <f t="shared" si="13"/>
        <v>1.4873605301063002</v>
      </c>
      <c r="AF25" s="8">
        <f t="shared" si="20"/>
        <v>0.17241625248797524</v>
      </c>
      <c r="AG25" s="8">
        <f t="shared" si="14"/>
        <v>1.6522716489463163</v>
      </c>
      <c r="AH25" s="8">
        <f t="shared" si="15"/>
        <v>1.9778637853045662</v>
      </c>
      <c r="AI25" s="8">
        <f t="shared" si="16"/>
        <v>1.8957047719045181</v>
      </c>
      <c r="AJ25" s="8">
        <f t="shared" si="17"/>
        <v>1.70331450089412</v>
      </c>
      <c r="AK25" s="8">
        <f t="shared" si="18"/>
        <v>1.3730021384454585</v>
      </c>
      <c r="AL25" s="8">
        <f t="shared" si="19"/>
        <v>0.67944049360857739</v>
      </c>
    </row>
    <row r="26" spans="1:38" x14ac:dyDescent="0.25">
      <c r="A26" s="4">
        <v>2014</v>
      </c>
      <c r="B26" s="5">
        <v>34503</v>
      </c>
      <c r="C26" s="10">
        <v>3534874</v>
      </c>
      <c r="D26" s="4">
        <f t="shared" si="1"/>
        <v>9.7607439473090132</v>
      </c>
      <c r="E26" s="4">
        <f t="shared" si="2"/>
        <v>0.9894829201152624</v>
      </c>
      <c r="F26" s="4">
        <v>25</v>
      </c>
      <c r="G26" s="4">
        <v>1</v>
      </c>
      <c r="H26" s="4">
        <v>1</v>
      </c>
      <c r="I26" s="6">
        <v>122372</v>
      </c>
      <c r="J26" s="6">
        <v>128211</v>
      </c>
      <c r="K26" s="6">
        <v>113148</v>
      </c>
      <c r="L26" s="6">
        <v>115073</v>
      </c>
      <c r="M26" s="6">
        <v>117109</v>
      </c>
      <c r="N26" s="6">
        <v>117577</v>
      </c>
      <c r="O26" s="6">
        <f t="shared" si="3"/>
        <v>713490</v>
      </c>
      <c r="P26" s="7">
        <f t="shared" si="4"/>
        <v>20.184312085805605</v>
      </c>
      <c r="Q26" s="4">
        <f t="shared" si="5"/>
        <v>1.3050139525360454</v>
      </c>
      <c r="R26" s="6">
        <v>4904</v>
      </c>
      <c r="S26" s="6">
        <v>11552</v>
      </c>
      <c r="T26" s="6">
        <v>8777</v>
      </c>
      <c r="U26" s="6">
        <v>5893</v>
      </c>
      <c r="V26" s="6">
        <v>2703</v>
      </c>
      <c r="W26" s="6">
        <v>576</v>
      </c>
      <c r="X26" s="6">
        <f t="shared" si="6"/>
        <v>98</v>
      </c>
      <c r="Y26" s="8">
        <f t="shared" si="7"/>
        <v>40.074526852547969</v>
      </c>
      <c r="Z26" s="8">
        <f t="shared" si="8"/>
        <v>90.101473352520458</v>
      </c>
      <c r="AA26" s="8">
        <f t="shared" si="9"/>
        <v>77.570968996358744</v>
      </c>
      <c r="AB26" s="8">
        <f t="shared" si="10"/>
        <v>51.210970427467778</v>
      </c>
      <c r="AC26" s="8">
        <f t="shared" si="11"/>
        <v>23.081061233551651</v>
      </c>
      <c r="AD26" s="8">
        <f t="shared" si="12"/>
        <v>4.8989173052552797</v>
      </c>
      <c r="AE26" s="8">
        <f t="shared" si="13"/>
        <v>1.4346895908385096</v>
      </c>
      <c r="AF26" s="8">
        <f t="shared" si="20"/>
        <v>0.15675794736371226</v>
      </c>
      <c r="AG26" s="8">
        <f t="shared" si="14"/>
        <v>1.6028684034768228</v>
      </c>
      <c r="AH26" s="8">
        <f t="shared" si="15"/>
        <v>1.9547318926842561</v>
      </c>
      <c r="AI26" s="8">
        <f t="shared" si="16"/>
        <v>1.8896992165717235</v>
      </c>
      <c r="AJ26" s="8">
        <f t="shared" si="17"/>
        <v>1.7093630056196167</v>
      </c>
      <c r="AK26" s="8">
        <f t="shared" si="18"/>
        <v>1.3632557731699959</v>
      </c>
      <c r="AL26" s="8">
        <f t="shared" si="19"/>
        <v>0.69010010853687165</v>
      </c>
    </row>
    <row r="27" spans="1:38" x14ac:dyDescent="0.25">
      <c r="A27" s="4">
        <v>2015</v>
      </c>
      <c r="B27" s="5">
        <v>31243</v>
      </c>
      <c r="C27" s="10">
        <v>3473232</v>
      </c>
      <c r="D27" s="4">
        <f t="shared" si="1"/>
        <v>8.9953680030588217</v>
      </c>
      <c r="E27" s="4">
        <f t="shared" si="2"/>
        <v>0.95401893515556124</v>
      </c>
      <c r="F27" s="4">
        <v>26</v>
      </c>
      <c r="G27" s="4">
        <v>1</v>
      </c>
      <c r="H27" s="4">
        <v>1</v>
      </c>
      <c r="I27" s="6">
        <v>119028</v>
      </c>
      <c r="J27" s="6">
        <v>123845</v>
      </c>
      <c r="K27" s="6">
        <v>114159</v>
      </c>
      <c r="L27" s="6">
        <v>108932</v>
      </c>
      <c r="M27" s="6">
        <v>115626</v>
      </c>
      <c r="N27" s="6">
        <v>114506</v>
      </c>
      <c r="O27" s="6">
        <f t="shared" si="3"/>
        <v>696096</v>
      </c>
      <c r="P27" s="7">
        <f t="shared" si="4"/>
        <v>20.041736342403848</v>
      </c>
      <c r="Q27" s="4">
        <f t="shared" si="5"/>
        <v>1.301935344503502</v>
      </c>
      <c r="R27" s="6">
        <v>4056</v>
      </c>
      <c r="S27" s="6">
        <v>10531</v>
      </c>
      <c r="T27" s="6">
        <v>8170</v>
      </c>
      <c r="U27" s="6">
        <v>5173</v>
      </c>
      <c r="V27" s="6">
        <v>2666</v>
      </c>
      <c r="W27" s="6">
        <v>538</v>
      </c>
      <c r="X27" s="6">
        <f t="shared" si="6"/>
        <v>109</v>
      </c>
      <c r="Y27" s="8">
        <f t="shared" si="7"/>
        <v>34.076015727391876</v>
      </c>
      <c r="Z27" s="8">
        <f t="shared" si="8"/>
        <v>85.033711494206472</v>
      </c>
      <c r="AA27" s="8">
        <f t="shared" si="9"/>
        <v>71.566849744654377</v>
      </c>
      <c r="AB27" s="8">
        <f t="shared" si="10"/>
        <v>47.488341350567332</v>
      </c>
      <c r="AC27" s="8">
        <f t="shared" si="11"/>
        <v>23.057097884558836</v>
      </c>
      <c r="AD27" s="8">
        <f t="shared" si="12"/>
        <v>4.6984437496725064</v>
      </c>
      <c r="AE27" s="8">
        <f t="shared" si="13"/>
        <v>1.3296022997552568</v>
      </c>
      <c r="AF27" s="8">
        <f t="shared" si="20"/>
        <v>0.12372175762095784</v>
      </c>
      <c r="AG27" s="8">
        <f t="shared" si="14"/>
        <v>1.5324488100159375</v>
      </c>
      <c r="AH27" s="8">
        <f t="shared" si="15"/>
        <v>1.9295911352834865</v>
      </c>
      <c r="AI27" s="8">
        <f t="shared" si="16"/>
        <v>1.8547119007038912</v>
      </c>
      <c r="AJ27" s="8">
        <f t="shared" si="17"/>
        <v>1.6765870010228321</v>
      </c>
      <c r="AK27" s="8">
        <f t="shared" si="18"/>
        <v>1.3628046432866097</v>
      </c>
      <c r="AL27" s="8">
        <f t="shared" si="19"/>
        <v>0.67195403179729085</v>
      </c>
    </row>
    <row r="28" spans="1:38" x14ac:dyDescent="0.25">
      <c r="A28" s="4">
        <v>2016</v>
      </c>
      <c r="B28" s="5">
        <v>28349</v>
      </c>
      <c r="C28" s="10">
        <v>3406672</v>
      </c>
      <c r="D28" s="4">
        <f t="shared" si="1"/>
        <v>8.3216112381820153</v>
      </c>
      <c r="E28" s="4">
        <f t="shared" si="2"/>
        <v>0.92020742293781566</v>
      </c>
      <c r="F28" s="4">
        <v>27</v>
      </c>
      <c r="G28" s="4">
        <v>1</v>
      </c>
      <c r="H28" s="4">
        <v>1</v>
      </c>
      <c r="I28" s="6">
        <v>114942</v>
      </c>
      <c r="J28" s="6">
        <v>119606</v>
      </c>
      <c r="K28" s="6">
        <v>114612</v>
      </c>
      <c r="L28" s="6">
        <v>103777</v>
      </c>
      <c r="M28" s="6">
        <v>113215</v>
      </c>
      <c r="N28" s="6">
        <v>111259</v>
      </c>
      <c r="O28" s="6">
        <f t="shared" si="3"/>
        <v>677411</v>
      </c>
      <c r="P28" s="7">
        <f t="shared" si="4"/>
        <v>19.884831882846367</v>
      </c>
      <c r="Q28" s="4">
        <f t="shared" si="5"/>
        <v>1.2985219235764232</v>
      </c>
      <c r="R28" s="6">
        <v>3420</v>
      </c>
      <c r="S28" s="6">
        <v>9270</v>
      </c>
      <c r="T28" s="6">
        <v>7633</v>
      </c>
      <c r="U28" s="6">
        <v>4885</v>
      </c>
      <c r="V28" s="6">
        <v>2525</v>
      </c>
      <c r="W28" s="6">
        <v>515</v>
      </c>
      <c r="X28" s="6">
        <f t="shared" si="6"/>
        <v>101</v>
      </c>
      <c r="Y28" s="8">
        <f t="shared" si="7"/>
        <v>29.754136869029598</v>
      </c>
      <c r="Z28" s="8">
        <f t="shared" si="8"/>
        <v>77.504473019748175</v>
      </c>
      <c r="AA28" s="8">
        <f t="shared" si="9"/>
        <v>66.598610965692941</v>
      </c>
      <c r="AB28" s="8">
        <f t="shared" si="10"/>
        <v>47.072087264037314</v>
      </c>
      <c r="AC28" s="8">
        <f t="shared" si="11"/>
        <v>22.30269840568829</v>
      </c>
      <c r="AD28" s="8">
        <f t="shared" si="12"/>
        <v>4.6288390152706747</v>
      </c>
      <c r="AE28" s="8">
        <f t="shared" si="13"/>
        <v>1.2393042276973349</v>
      </c>
      <c r="AF28" s="8">
        <f t="shared" si="20"/>
        <v>9.3177931228155264E-2</v>
      </c>
      <c r="AG28" s="8">
        <f t="shared" si="14"/>
        <v>1.4735473564339652</v>
      </c>
      <c r="AH28" s="8">
        <f t="shared" si="15"/>
        <v>1.8893267676900016</v>
      </c>
      <c r="AI28" s="8">
        <f t="shared" si="16"/>
        <v>1.8234651712690155</v>
      </c>
      <c r="AJ28" s="8">
        <f t="shared" si="17"/>
        <v>1.6727634561599178</v>
      </c>
      <c r="AK28" s="8">
        <f t="shared" si="18"/>
        <v>1.3483574115595145</v>
      </c>
      <c r="AL28" s="8">
        <f t="shared" si="19"/>
        <v>0.66547207687367849</v>
      </c>
    </row>
    <row r="29" spans="1:38" x14ac:dyDescent="0.25">
      <c r="A29" s="4">
        <v>2017</v>
      </c>
      <c r="B29" s="5">
        <v>24402</v>
      </c>
      <c r="C29" s="10">
        <v>3325286</v>
      </c>
      <c r="D29" s="4">
        <f t="shared" si="1"/>
        <v>7.3383161628804263</v>
      </c>
      <c r="E29" s="4">
        <f t="shared" si="2"/>
        <v>0.86559641889941064</v>
      </c>
      <c r="F29" s="4">
        <v>28</v>
      </c>
      <c r="G29" s="4">
        <v>1</v>
      </c>
      <c r="H29" s="4">
        <v>1</v>
      </c>
      <c r="I29" s="6">
        <v>108793</v>
      </c>
      <c r="J29" s="6">
        <v>115068</v>
      </c>
      <c r="K29" s="6">
        <v>112899</v>
      </c>
      <c r="L29" s="6">
        <v>98845</v>
      </c>
      <c r="M29" s="6">
        <v>109288</v>
      </c>
      <c r="N29" s="6">
        <v>108353</v>
      </c>
      <c r="O29" s="6">
        <f t="shared" si="3"/>
        <v>653246</v>
      </c>
      <c r="P29" s="7">
        <f t="shared" si="4"/>
        <v>19.644806491832583</v>
      </c>
      <c r="Q29" s="4">
        <f t="shared" si="5"/>
        <v>1.2932477552173989</v>
      </c>
      <c r="R29" s="6">
        <v>2681</v>
      </c>
      <c r="S29" s="6">
        <v>8008</v>
      </c>
      <c r="T29" s="6">
        <v>6659</v>
      </c>
      <c r="U29" s="6">
        <v>4313</v>
      </c>
      <c r="V29" s="6">
        <v>2154</v>
      </c>
      <c r="W29" s="6">
        <v>502</v>
      </c>
      <c r="X29" s="6">
        <f t="shared" si="6"/>
        <v>85</v>
      </c>
      <c r="Y29" s="8">
        <f t="shared" si="7"/>
        <v>24.643129613118489</v>
      </c>
      <c r="Z29" s="8">
        <f t="shared" si="8"/>
        <v>69.593631591754445</v>
      </c>
      <c r="AA29" s="8">
        <f t="shared" si="9"/>
        <v>58.981921894790922</v>
      </c>
      <c r="AB29" s="8">
        <f t="shared" si="10"/>
        <v>43.633972381000561</v>
      </c>
      <c r="AC29" s="8">
        <f t="shared" si="11"/>
        <v>19.709391698997145</v>
      </c>
      <c r="AD29" s="8">
        <f t="shared" si="12"/>
        <v>4.633005085230681</v>
      </c>
      <c r="AE29" s="8">
        <f t="shared" si="13"/>
        <v>1.1059752613244611</v>
      </c>
      <c r="AF29" s="8">
        <f t="shared" si="20"/>
        <v>4.3745412691612764E-2</v>
      </c>
      <c r="AG29" s="8">
        <f t="shared" si="14"/>
        <v>1.3916958612601817</v>
      </c>
      <c r="AH29" s="8">
        <f t="shared" si="15"/>
        <v>1.8425694997958901</v>
      </c>
      <c r="AI29" s="8">
        <f t="shared" si="16"/>
        <v>1.7707189197027873</v>
      </c>
      <c r="AJ29" s="8">
        <f t="shared" si="17"/>
        <v>1.6398247524004563</v>
      </c>
      <c r="AK29" s="8">
        <f t="shared" si="18"/>
        <v>1.2946732206343077</v>
      </c>
      <c r="AL29" s="8">
        <f t="shared" si="19"/>
        <v>0.66586277688919271</v>
      </c>
    </row>
    <row r="30" spans="1:38" x14ac:dyDescent="0.25">
      <c r="A30" s="4">
        <v>2018</v>
      </c>
      <c r="B30" s="5">
        <v>21493</v>
      </c>
      <c r="C30" s="10">
        <v>3193354</v>
      </c>
      <c r="D30" s="4">
        <f t="shared" si="1"/>
        <v>6.7305409923234318</v>
      </c>
      <c r="E30" s="4">
        <f t="shared" si="2"/>
        <v>0.82804997366499844</v>
      </c>
      <c r="F30" s="4">
        <v>29</v>
      </c>
      <c r="G30" s="4">
        <v>1</v>
      </c>
      <c r="H30" s="4">
        <v>1</v>
      </c>
      <c r="I30" s="6">
        <v>100291</v>
      </c>
      <c r="J30" s="6">
        <v>107734</v>
      </c>
      <c r="K30" s="6">
        <v>108195</v>
      </c>
      <c r="L30" s="6">
        <v>93181</v>
      </c>
      <c r="M30" s="6">
        <v>102196</v>
      </c>
      <c r="N30" s="6">
        <v>104813</v>
      </c>
      <c r="O30" s="6">
        <f t="shared" si="3"/>
        <v>616410</v>
      </c>
      <c r="P30" s="7">
        <f t="shared" si="4"/>
        <v>19.302902215037857</v>
      </c>
      <c r="Q30" s="4">
        <f t="shared" si="5"/>
        <v>1.2856226106253357</v>
      </c>
      <c r="R30" s="6">
        <v>1955</v>
      </c>
      <c r="S30" s="6">
        <v>6722</v>
      </c>
      <c r="T30" s="6">
        <v>6156</v>
      </c>
      <c r="U30" s="6">
        <v>4005</v>
      </c>
      <c r="V30" s="6">
        <v>2154</v>
      </c>
      <c r="W30" s="6">
        <v>472</v>
      </c>
      <c r="X30" s="6">
        <f t="shared" si="6"/>
        <v>29</v>
      </c>
      <c r="Y30" s="8">
        <f t="shared" si="7"/>
        <v>19.493274570998395</v>
      </c>
      <c r="Z30" s="8">
        <f t="shared" si="8"/>
        <v>62.394415876139377</v>
      </c>
      <c r="AA30" s="8">
        <f t="shared" si="9"/>
        <v>56.897268820185772</v>
      </c>
      <c r="AB30" s="8">
        <f t="shared" si="10"/>
        <v>42.980865197840764</v>
      </c>
      <c r="AC30" s="8">
        <f t="shared" si="11"/>
        <v>21.07714587655094</v>
      </c>
      <c r="AD30" s="8">
        <f t="shared" si="12"/>
        <v>4.5032581836222603</v>
      </c>
      <c r="AE30" s="8">
        <f t="shared" si="13"/>
        <v>1.0367311426266874</v>
      </c>
      <c r="AF30" s="8">
        <f t="shared" si="20"/>
        <v>1.5666144612226946E-2</v>
      </c>
      <c r="AG30" s="8">
        <f t="shared" si="14"/>
        <v>1.2898848000545462</v>
      </c>
      <c r="AH30" s="8">
        <f t="shared" si="15"/>
        <v>1.7951457232930343</v>
      </c>
      <c r="AI30" s="8">
        <f t="shared" si="16"/>
        <v>1.7550914199136938</v>
      </c>
      <c r="AJ30" s="8">
        <f t="shared" si="17"/>
        <v>1.6332751535208521</v>
      </c>
      <c r="AK30" s="8">
        <f t="shared" si="18"/>
        <v>1.3238118013229965</v>
      </c>
      <c r="AL30" s="8">
        <f t="shared" si="19"/>
        <v>0.65352684692032026</v>
      </c>
    </row>
    <row r="31" spans="1:38" x14ac:dyDescent="0.25">
      <c r="A31" s="4">
        <v>2019</v>
      </c>
      <c r="B31" s="5">
        <v>20434</v>
      </c>
      <c r="C31" s="10">
        <v>3193694</v>
      </c>
      <c r="D31" s="4">
        <f t="shared" si="1"/>
        <v>6.3982335189282376</v>
      </c>
      <c r="E31" s="4">
        <f t="shared" si="2"/>
        <v>0.80606008665950135</v>
      </c>
      <c r="F31" s="4">
        <v>30</v>
      </c>
      <c r="G31" s="4">
        <v>1</v>
      </c>
      <c r="H31" s="4">
        <v>1</v>
      </c>
      <c r="I31" s="6">
        <v>98595</v>
      </c>
      <c r="J31" s="6">
        <v>106553</v>
      </c>
      <c r="K31" s="6">
        <v>110145</v>
      </c>
      <c r="L31" s="6">
        <v>95513</v>
      </c>
      <c r="M31" s="6">
        <v>100229</v>
      </c>
      <c r="N31" s="6">
        <v>104719</v>
      </c>
      <c r="O31" s="6">
        <f t="shared" si="3"/>
        <v>615754</v>
      </c>
      <c r="P31" s="7">
        <f t="shared" si="4"/>
        <v>19.280306754498085</v>
      </c>
      <c r="Q31" s="4">
        <f t="shared" si="5"/>
        <v>1.2851139393555058</v>
      </c>
      <c r="R31" s="6">
        <v>1911</v>
      </c>
      <c r="S31" s="6">
        <v>6248</v>
      </c>
      <c r="T31" s="6">
        <v>5688</v>
      </c>
      <c r="U31" s="6">
        <v>3979</v>
      </c>
      <c r="V31" s="6">
        <v>2065</v>
      </c>
      <c r="W31" s="6">
        <v>515</v>
      </c>
      <c r="X31" s="6">
        <f t="shared" si="6"/>
        <v>28</v>
      </c>
      <c r="Y31" s="8">
        <f t="shared" si="7"/>
        <v>19.382321618743344</v>
      </c>
      <c r="Z31" s="8">
        <f t="shared" si="8"/>
        <v>58.637485570561132</v>
      </c>
      <c r="AA31" s="8">
        <f t="shared" si="9"/>
        <v>51.641018657224571</v>
      </c>
      <c r="AB31" s="8">
        <f t="shared" si="10"/>
        <v>41.659250573220397</v>
      </c>
      <c r="AC31" s="8">
        <f t="shared" si="11"/>
        <v>20.602819543245968</v>
      </c>
      <c r="AD31" s="8">
        <f t="shared" si="12"/>
        <v>4.9179232040030945</v>
      </c>
      <c r="AE31" s="8">
        <f t="shared" si="13"/>
        <v>0.98420409583499247</v>
      </c>
      <c r="AF31" s="8">
        <f t="shared" si="20"/>
        <v>-6.9148319509578183E-3</v>
      </c>
      <c r="AG31" s="8">
        <f t="shared" si="14"/>
        <v>1.287405795718964</v>
      </c>
      <c r="AH31" s="8">
        <f t="shared" si="15"/>
        <v>1.7681753390845869</v>
      </c>
      <c r="AI31" s="8">
        <f t="shared" si="16"/>
        <v>1.7129948004582141</v>
      </c>
      <c r="AJ31" s="8">
        <f t="shared" si="17"/>
        <v>1.6197114529654841</v>
      </c>
      <c r="AK31" s="8">
        <f t="shared" si="18"/>
        <v>1.3139266586352087</v>
      </c>
      <c r="AL31" s="8">
        <f t="shared" si="19"/>
        <v>0.69178174271540838</v>
      </c>
    </row>
    <row r="32" spans="1:38" x14ac:dyDescent="0.25">
      <c r="A32" s="4">
        <v>2020</v>
      </c>
      <c r="B32" s="5">
        <v>19049</v>
      </c>
      <c r="C32" s="10">
        <v>3285874</v>
      </c>
      <c r="D32" s="4">
        <f t="shared" si="1"/>
        <v>5.7972399428584298</v>
      </c>
      <c r="E32" s="4">
        <f t="shared" si="2"/>
        <v>0.76322127582408583</v>
      </c>
      <c r="F32" s="4">
        <v>31</v>
      </c>
      <c r="G32" s="4">
        <v>1</v>
      </c>
      <c r="H32" s="4">
        <v>1</v>
      </c>
      <c r="I32" s="6">
        <v>94631</v>
      </c>
      <c r="J32" s="6">
        <v>105267</v>
      </c>
      <c r="K32" s="6">
        <v>108081</v>
      </c>
      <c r="L32" s="6">
        <v>98448</v>
      </c>
      <c r="M32" s="6">
        <v>95582</v>
      </c>
      <c r="N32" s="6">
        <v>104422</v>
      </c>
      <c r="O32" s="6">
        <f t="shared" si="3"/>
        <v>606431</v>
      </c>
      <c r="P32" s="7">
        <f t="shared" si="4"/>
        <v>18.455698544740304</v>
      </c>
      <c r="Q32" s="4">
        <f t="shared" si="5"/>
        <v>1.2661304878077355</v>
      </c>
      <c r="R32" s="6">
        <v>1493</v>
      </c>
      <c r="S32" s="6">
        <v>5923</v>
      </c>
      <c r="T32" s="6">
        <v>5571</v>
      </c>
      <c r="U32" s="6">
        <v>3632</v>
      </c>
      <c r="V32" s="6">
        <v>1953</v>
      </c>
      <c r="W32" s="6">
        <v>460</v>
      </c>
      <c r="X32" s="6">
        <f t="shared" si="6"/>
        <v>17</v>
      </c>
      <c r="Y32" s="8">
        <f t="shared" si="7"/>
        <v>15.777070938698735</v>
      </c>
      <c r="Z32" s="8">
        <f t="shared" si="8"/>
        <v>56.266446274710972</v>
      </c>
      <c r="AA32" s="8">
        <f t="shared" si="9"/>
        <v>51.544674827212923</v>
      </c>
      <c r="AB32" s="8">
        <f t="shared" si="10"/>
        <v>36.892572728750203</v>
      </c>
      <c r="AC32" s="8">
        <f t="shared" si="11"/>
        <v>20.43271745726183</v>
      </c>
      <c r="AD32" s="8">
        <f t="shared" si="12"/>
        <v>4.4052019689337492</v>
      </c>
      <c r="AE32" s="8">
        <f t="shared" si="13"/>
        <v>0.92659342097784192</v>
      </c>
      <c r="AF32" s="8">
        <f t="shared" si="20"/>
        <v>-3.311078771063506E-2</v>
      </c>
      <c r="AG32" s="8">
        <f t="shared" si="14"/>
        <v>1.1980263782627991</v>
      </c>
      <c r="AH32" s="8">
        <f t="shared" si="15"/>
        <v>1.7502494864704892</v>
      </c>
      <c r="AI32" s="8">
        <f t="shared" si="16"/>
        <v>1.7121838041953503</v>
      </c>
      <c r="AJ32" s="8">
        <f t="shared" si="17"/>
        <v>1.5669389421050941</v>
      </c>
      <c r="AK32" s="8">
        <f t="shared" si="18"/>
        <v>1.3103261296383757</v>
      </c>
      <c r="AL32" s="8">
        <f t="shared" si="19"/>
        <v>0.64396582466240593</v>
      </c>
    </row>
    <row r="33" spans="3:22" x14ac:dyDescent="0.25">
      <c r="C33" s="1"/>
    </row>
    <row r="34" spans="3:22" x14ac:dyDescent="0.25">
      <c r="C34" s="1"/>
    </row>
    <row r="35" spans="3:22" x14ac:dyDescent="0.25">
      <c r="C35" s="1"/>
    </row>
    <row r="36" spans="3:22" x14ac:dyDescent="0.25">
      <c r="C36" s="1"/>
    </row>
    <row r="40" spans="3:22" x14ac:dyDescent="0.25">
      <c r="Q40" s="1"/>
      <c r="R40" s="1"/>
      <c r="S40" s="1"/>
      <c r="T40" s="1"/>
      <c r="U40" s="1"/>
      <c r="V40" s="1"/>
    </row>
    <row r="41" spans="3:22" x14ac:dyDescent="0.25">
      <c r="Q41" s="1"/>
      <c r="R41" s="1"/>
      <c r="S41" s="1"/>
      <c r="T41" s="1"/>
      <c r="U41" s="1"/>
      <c r="V41" s="1"/>
    </row>
    <row r="42" spans="3:22" x14ac:dyDescent="0.25">
      <c r="Q42" s="1"/>
      <c r="R42" s="1"/>
      <c r="S42" s="1"/>
      <c r="T42" s="1"/>
      <c r="U42" s="1"/>
      <c r="V42" s="1"/>
    </row>
    <row r="43" spans="3:22" x14ac:dyDescent="0.25">
      <c r="Q43" s="1"/>
      <c r="R43" s="1"/>
      <c r="S43" s="1"/>
      <c r="T43" s="1"/>
      <c r="U43" s="1"/>
      <c r="V43" s="1"/>
    </row>
    <row r="44" spans="3:22" x14ac:dyDescent="0.25">
      <c r="Q44" s="1"/>
      <c r="R44" s="1"/>
      <c r="S44" s="1"/>
      <c r="T44" s="1"/>
      <c r="U44" s="1"/>
      <c r="V44" s="1"/>
    </row>
    <row r="45" spans="3:22" x14ac:dyDescent="0.25">
      <c r="Q45" s="1"/>
      <c r="R45" s="1"/>
      <c r="S45" s="1"/>
      <c r="T45" s="1"/>
      <c r="U45" s="1"/>
      <c r="V45" s="1"/>
    </row>
    <row r="48" spans="3:22" x14ac:dyDescent="0.25">
      <c r="F48" s="3"/>
    </row>
  </sheetData>
  <phoneticPr fontId="19" type="noConversion"/>
  <pageMargins left="0.7" right="0.7" top="0.75" bottom="0.75" header="0.3" footer="0.3"/>
  <ignoredErrors>
    <ignoredError sqref="O2:O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Santos, Alexis R</cp:lastModifiedBy>
  <dcterms:created xsi:type="dcterms:W3CDTF">2022-07-18T19:57:41Z</dcterms:created>
  <dcterms:modified xsi:type="dcterms:W3CDTF">2026-09-02T00:24:01Z</dcterms:modified>
</cp:coreProperties>
</file>